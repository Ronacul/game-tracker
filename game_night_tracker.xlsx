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Game Log" sheetId="2" state="visible" r:id="rId4"/>
    <sheet name="Leaderboard" sheetId="3" state="visible" r:id="rId5"/>
    <sheet name="Gam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<sst xmlns="http://schemas.openxmlformats.org/spreadsheetml/2006/main" count="2169" uniqueCount="204">
  <si>
    <t xml:space="preserve">Game Night Tracker</t>
  </si>
  <si>
    <t xml:space="preserve">How to use:</t>
  </si>
  <si>
    <t xml:space="preserve">• Add each new game as a row at the bottom of the 'Game Log' sheet (yellow-marked columns are the ones you fill in).</t>
  </si>
  <si>
    <t xml:space="preserve">• Winners: player name, or several separated by commas (e.g. 'Ian, Lucanor'). For co-op games (Pandemic) enter 'Win' or 'Loss'.</t>
  </si>
  <si>
    <t xml:space="preserve">• Players: everyone at the table, separated by commas.</t>
  </si>
  <si>
    <t xml:space="preserve">• The 'Leaderboard' and 'Games' sheets update automatically — no need to touch them. Their formulas cover rows up to 3000.</t>
  </si>
  <si>
    <t xml:space="preserve">Notes on this rebuild (July 2026):</t>
  </si>
  <si>
    <t xml:space="preserve">• 677 games imported from the original file (Mar 2015 – Jun 2026), one row per game.</t>
  </si>
  <si>
    <t xml:space="preserve">• Name/game spellings were normalized ('Munchkin ' → 'Munchkin', '*ennis' → 'Dennis', 'PAul' → 'Paul', etc.).</t>
  </si>
  <si>
    <t xml:space="preserve">• Where a row had no attendance recorded, the winner was assumed present. 8 co-op games have no attendance data.</t>
  </si>
  <si>
    <t xml:space="preserve">• One 2015 entry read 'Ling of' and was assumed to be Kings of Tokyo (noted on that row).</t>
  </si>
  <si>
    <t xml:space="preserve">Date</t>
  </si>
  <si>
    <t xml:space="preserve">Game</t>
  </si>
  <si>
    <t xml:space="preserve">Winners</t>
  </si>
  <si>
    <t xml:space="preserve">Players</t>
  </si>
  <si>
    <t xml:space="preserve"># Players</t>
  </si>
  <si>
    <t xml:space="preserve">Notes</t>
  </si>
  <si>
    <t xml:space="preserve">Pandemic</t>
  </si>
  <si>
    <t xml:space="preserve">Dennis, Ian, Johnny, Lucanor</t>
  </si>
  <si>
    <t xml:space="preserve">Lucanor, Dennis, Ian, Johnny</t>
  </si>
  <si>
    <t xml:space="preserve">Tsuro</t>
  </si>
  <si>
    <t xml:space="preserve">Lucanor</t>
  </si>
  <si>
    <t xml:space="preserve">Ian</t>
  </si>
  <si>
    <t xml:space="preserve">Qwirkle</t>
  </si>
  <si>
    <t xml:space="preserve">Johnny</t>
  </si>
  <si>
    <t xml:space="preserve">Dennis, Ian, Martin, Lucanor</t>
  </si>
  <si>
    <t xml:space="preserve">Lucanor, Dennis, Ian, Mark, Martin, Johnny</t>
  </si>
  <si>
    <t xml:space="preserve">Shogun</t>
  </si>
  <si>
    <t xml:space="preserve">Lucanor, Dennis, Mark, Johnny</t>
  </si>
  <si>
    <t xml:space="preserve">Lucanor, Dennis, Ian, Mark, Johnny</t>
  </si>
  <si>
    <t xml:space="preserve">Kings of Tokyo</t>
  </si>
  <si>
    <t xml:space="preserve">Ian, Johnny, Dennis</t>
  </si>
  <si>
    <t xml:space="preserve">Lucanor, Dennis, Ian, Mark</t>
  </si>
  <si>
    <t xml:space="preserve">Dennis</t>
  </si>
  <si>
    <t xml:space="preserve">Lucanor, Dennis, Ian</t>
  </si>
  <si>
    <t xml:space="preserve">Mark</t>
  </si>
  <si>
    <t xml:space="preserve">Monopoly</t>
  </si>
  <si>
    <t xml:space="preserve">Dennis, Martin</t>
  </si>
  <si>
    <t xml:space="preserve">Lucanor, Dennis, Ian, Mark, Johnny, Martin</t>
  </si>
  <si>
    <t xml:space="preserve">Loss</t>
  </si>
  <si>
    <t xml:space="preserve">Lucanor, Dennis, Ian, Mark, Martin, Gavin, Johnny</t>
  </si>
  <si>
    <t xml:space="preserve">Dennis, Johnny, Lucanor</t>
  </si>
  <si>
    <t xml:space="preserve">Risk</t>
  </si>
  <si>
    <t xml:space="preserve">Lucanor, Dennis, Ian, Mark, Martin</t>
  </si>
  <si>
    <t xml:space="preserve">Johnny, Ian, Dennis, Lucanor</t>
  </si>
  <si>
    <t xml:space="preserve">Lucanor, Dennis, Ian, Martin, Johnny</t>
  </si>
  <si>
    <t xml:space="preserve">Liars Dice</t>
  </si>
  <si>
    <t xml:space="preserve">Ian, Dennis, Lucanor</t>
  </si>
  <si>
    <t xml:space="preserve">Johnny, Lucanor, Dennis</t>
  </si>
  <si>
    <t xml:space="preserve">Dennis, Ian, Mark, Johnny, Lucanor</t>
  </si>
  <si>
    <t xml:space="preserve">Lucanor, Ian, Martin, Mark</t>
  </si>
  <si>
    <t xml:space="preserve">Smashup</t>
  </si>
  <si>
    <t xml:space="preserve">Martin</t>
  </si>
  <si>
    <t xml:space="preserve">Dennis, Gavin, Johnny, Martin</t>
  </si>
  <si>
    <t xml:space="preserve">Jamb</t>
  </si>
  <si>
    <t xml:space="preserve">Lucanor, Dennis, Mark, Martin</t>
  </si>
  <si>
    <t xml:space="preserve">Lucanor, Dennis, Mark</t>
  </si>
  <si>
    <t xml:space="preserve">Lucanor, Dennis, Johnny</t>
  </si>
  <si>
    <t xml:space="preserve">Lucanor, Dennis, Mark, Paul, Johnny</t>
  </si>
  <si>
    <t xml:space="preserve">Lucanor, Dennis</t>
  </si>
  <si>
    <t xml:space="preserve">Backgammon</t>
  </si>
  <si>
    <t xml:space="preserve">Dennis, Mark</t>
  </si>
  <si>
    <t xml:space="preserve">Dennis, Ian, Mark</t>
  </si>
  <si>
    <t xml:space="preserve">Exploding Kittens</t>
  </si>
  <si>
    <t xml:space="preserve">Lucanor, Ian, Martin, Dennis</t>
  </si>
  <si>
    <t xml:space="preserve">Roll For It</t>
  </si>
  <si>
    <t xml:space="preserve">Dennis, Ian, Mark, Johnny</t>
  </si>
  <si>
    <t xml:space="preserve">Lucanor, Dennis, Ian, Andre</t>
  </si>
  <si>
    <t xml:space="preserve">Win, Lucanor, Ian, Dennis</t>
  </si>
  <si>
    <t xml:space="preserve">Dennis, Mark, Johnny</t>
  </si>
  <si>
    <t xml:space="preserve">Dennis, Ian, Mark, Paul, Johnny</t>
  </si>
  <si>
    <t xml:space="preserve">Complete Card by Lucanor</t>
  </si>
  <si>
    <t xml:space="preserve">Win, Lucanor, Mark, Dennis, Ian</t>
  </si>
  <si>
    <t xml:space="preserve">Catan: Star Trek</t>
  </si>
  <si>
    <t xml:space="preserve">Lucanor, Dennis, Ian, Mark, Gavin, Johnny</t>
  </si>
  <si>
    <t xml:space="preserve">gavin's inaugural game</t>
  </si>
  <si>
    <t xml:space="preserve">Lucanor, Dennis, Ian, Mark, Gavin</t>
  </si>
  <si>
    <t xml:space="preserve">Win on Skalla +9 pts</t>
  </si>
  <si>
    <t xml:space="preserve">Dennis Shutout</t>
  </si>
  <si>
    <t xml:space="preserve">Ian, Lucanor, Dennis</t>
  </si>
  <si>
    <t xml:space="preserve">Dennis, Ian, Mark, Martin</t>
  </si>
  <si>
    <t xml:space="preserve">Dennis, Ian, Mark, Martin, Johnny</t>
  </si>
  <si>
    <t xml:space="preserve">*Birthday pity win (Just Kidding)</t>
  </si>
  <si>
    <t xml:space="preserve">Ian ends first with 5 tile qwirkle</t>
  </si>
  <si>
    <t xml:space="preserve">Win</t>
  </si>
  <si>
    <t xml:space="preserve">Dennis, Mark, Martin, Gavin, Johnny</t>
  </si>
  <si>
    <t xml:space="preserve">First On the brink expansion</t>
  </si>
  <si>
    <t xml:space="preserve">original entry read "Ling of" — assumed Kings of Tokyo</t>
  </si>
  <si>
    <t xml:space="preserve">Ticket to Ride</t>
  </si>
  <si>
    <t xml:space="preserve">Lucanor, Dennis, Mark, Gavin</t>
  </si>
  <si>
    <t xml:space="preserve">Lucanor, Dennis, Ian, Mark, Paul</t>
  </si>
  <si>
    <t xml:space="preserve">Lucanor, Dennis, Ian, Paul, Johnny</t>
  </si>
  <si>
    <t xml:space="preserve">Paul</t>
  </si>
  <si>
    <t xml:space="preserve">Lucanor, Dennis, Ian, Paul</t>
  </si>
  <si>
    <t xml:space="preserve">Dennis, Mark, Gavin, Paul, Johnny, Lucanor</t>
  </si>
  <si>
    <t xml:space="preserve">Dennis, Ian, Mark, Gavin, Paul, Johnny</t>
  </si>
  <si>
    <t xml:space="preserve">Lucanor, Dennis, Ian, Mark, Paul, Johnny</t>
  </si>
  <si>
    <t xml:space="preserve">Lucanor, Dennis, Ian, Mark, Gavin, Paul, Johnny</t>
  </si>
  <si>
    <t xml:space="preserve">US Board, Highest score 143</t>
  </si>
  <si>
    <t xml:space="preserve">Colt Express</t>
  </si>
  <si>
    <t xml:space="preserve">Perfect Card</t>
  </si>
  <si>
    <t xml:space="preserve">Lucanor, Dennis, Ian, Johnny, Mark</t>
  </si>
  <si>
    <t xml:space="preserve">Lucanor, Dennis, Ian, Mark, Rod, Miguel, Andy</t>
  </si>
  <si>
    <t xml:space="preserve">Perfect Card, highest score Lucanor, 1700, see fridge tab</t>
  </si>
  <si>
    <t xml:space="preserve">Zombie Dice</t>
  </si>
  <si>
    <t xml:space="preserve">Dennis, Ian, Mark, Paul</t>
  </si>
  <si>
    <t xml:space="preserve">Dennis, Ian, Mark, Martin, Paul</t>
  </si>
  <si>
    <t xml:space="preserve">6 virulent</t>
  </si>
  <si>
    <t xml:space="preserve">Lucanor, Dennis, Mark, Rod, Miguel</t>
  </si>
  <si>
    <t xml:space="preserve">Dennis, Ian, Mark, Gavin, Andy, Paul, Lucanor</t>
  </si>
  <si>
    <t xml:space="preserve">Andy</t>
  </si>
  <si>
    <t xml:space="preserve">Dennis, Ian, Mark, Gavin, Andy, Paul</t>
  </si>
  <si>
    <t xml:space="preserve">perfect game for den, ~1500</t>
  </si>
  <si>
    <t xml:space="preserve">perfect game 1650</t>
  </si>
  <si>
    <t xml:space="preserve">TTR UK</t>
  </si>
  <si>
    <t xml:space="preserve">UK, first time</t>
  </si>
  <si>
    <t xml:space="preserve">UK</t>
  </si>
  <si>
    <t xml:space="preserve">uk</t>
  </si>
  <si>
    <t xml:space="preserve">Pictures taken for later completion, Ian is out</t>
  </si>
  <si>
    <t xml:space="preserve">Dennis, Mark, Gavin, Paul</t>
  </si>
  <si>
    <t xml:space="preserve">Lucanor, Dennis, Ian, Mark, Gavin, Paul</t>
  </si>
  <si>
    <t xml:space="preserve">TTR Pennsylvania</t>
  </si>
  <si>
    <t xml:space="preserve">pen, first run</t>
  </si>
  <si>
    <t xml:space="preserve">Lucanor, Dennis, Ian, Gavin</t>
  </si>
  <si>
    <t xml:space="preserve">Pen</t>
  </si>
  <si>
    <t xml:space="preserve">Dennis, Ian, Paul</t>
  </si>
  <si>
    <t xml:space="preserve">pen</t>
  </si>
  <si>
    <t xml:space="preserve">Gavin</t>
  </si>
  <si>
    <t xml:space="preserve">Carcassonne</t>
  </si>
  <si>
    <t xml:space="preserve">first game</t>
  </si>
  <si>
    <t xml:space="preserve">Dennis, Ian, Johnny</t>
  </si>
  <si>
    <t xml:space="preserve">Dennis, Ian</t>
  </si>
  <si>
    <t xml:space="preserve">Lucanor, Dennis, Mark, Martin, Gavin</t>
  </si>
  <si>
    <t xml:space="preserve">Martin, Lucanor</t>
  </si>
  <si>
    <t xml:space="preserve">Lucanor, Dennis, Martin</t>
  </si>
  <si>
    <t xml:space="preserve">7 Wonders</t>
  </si>
  <si>
    <t xml:space="preserve">Rails and Sails</t>
  </si>
  <si>
    <t xml:space="preserve">Munchkin</t>
  </si>
  <si>
    <t xml:space="preserve">Scrabble</t>
  </si>
  <si>
    <t xml:space="preserve">not finished, Lucanor leads with South and North america</t>
  </si>
  <si>
    <t xml:space="preserve">Rail Baron</t>
  </si>
  <si>
    <t xml:space="preserve">Ended early, 'tie went to current champion' (Lucanor had Australie, 3 properties from NA, which was his mission)</t>
  </si>
  <si>
    <t xml:space="preserve">Lucanor, Dennis, Mark, Ian</t>
  </si>
  <si>
    <t xml:space="preserve">First completed game (200k)</t>
  </si>
  <si>
    <t xml:space="preserve">first complete (300k)</t>
  </si>
  <si>
    <t xml:space="preserve">Lucanor, Dennis, Ian, Martin</t>
  </si>
  <si>
    <t xml:space="preserve">TTR India</t>
  </si>
  <si>
    <t xml:space="preserve">india, ian won by 1 pt</t>
  </si>
  <si>
    <t xml:space="preserve">record 1753 score, but not a perfect card</t>
  </si>
  <si>
    <t xml:space="preserve">Trouble</t>
  </si>
  <si>
    <t xml:space="preserve">Not finished, but Ian had the most cash</t>
  </si>
  <si>
    <t xml:space="preserve">TTR Swiss</t>
  </si>
  <si>
    <t xml:space="preserve">swiss</t>
  </si>
  <si>
    <t xml:space="preserve">Lucanor, Dennis, Paul</t>
  </si>
  <si>
    <t xml:space="preserve">TTR Europe</t>
  </si>
  <si>
    <t xml:space="preserve">europe</t>
  </si>
  <si>
    <t xml:space="preserve">Jaipur</t>
  </si>
  <si>
    <t xml:space="preserve">Boxcars UK</t>
  </si>
  <si>
    <t xml:space="preserve">New record (with Super Scala)</t>
  </si>
  <si>
    <t xml:space="preserve">NFL</t>
  </si>
  <si>
    <t xml:space="preserve">completed game</t>
  </si>
  <si>
    <t xml:space="preserve">Heat</t>
  </si>
  <si>
    <t xml:space="preserve">Axis and Allies</t>
  </si>
  <si>
    <t xml:space="preserve">First complete game, 2nd try</t>
  </si>
  <si>
    <t xml:space="preserve">first 2 lap race, Italy</t>
  </si>
  <si>
    <t xml:space="preserve">epic win, 100k exactly and needed a 6 to win (1 die)</t>
  </si>
  <si>
    <t xml:space="preserve">100k exact again</t>
  </si>
  <si>
    <t xml:space="preserve">Lucanor, Dennis, Mark, Gavin, Ian</t>
  </si>
  <si>
    <t xml:space="preserve">TTR Italy</t>
  </si>
  <si>
    <t xml:space="preserve">First Time Played</t>
  </si>
  <si>
    <t xml:space="preserve">Ian got caught (-50k), then got his home base as destination and won</t>
  </si>
  <si>
    <t xml:space="preserve">first Boxcars win for Maek</t>
  </si>
  <si>
    <t xml:space="preserve">Boxcars Ireland</t>
  </si>
  <si>
    <t xml:space="preserve">First game</t>
  </si>
  <si>
    <t xml:space="preserve">Lucanor, Dennis, Ian, Alistair</t>
  </si>
  <si>
    <t xml:space="preserve">Lucanor, Dennis, Mark, Alistair</t>
  </si>
  <si>
    <t xml:space="preserve">first playthrough with new London fixed</t>
  </si>
  <si>
    <t xml:space="preserve">Alistair</t>
  </si>
  <si>
    <t xml:space="preserve">Lucanor, Dennis, Ian, Mark, Alistair</t>
  </si>
  <si>
    <t xml:space="preserve">didn't finish...was given to ian</t>
  </si>
  <si>
    <t xml:space="preserve">Ian, Lucanor</t>
  </si>
  <si>
    <t xml:space="preserve">Lucanor, Dennis, Alistair</t>
  </si>
  <si>
    <t xml:space="preserve">Lucanor, Alistair</t>
  </si>
  <si>
    <t xml:space="preserve">MArtin leff early, Mark's Birthday</t>
  </si>
  <si>
    <t xml:space="preserve">Lucanor, Ian, Mark, Martin</t>
  </si>
  <si>
    <t xml:space="preserve">first intercity Markham invitational</t>
  </si>
  <si>
    <t xml:space="preserve">early ellimination for Allister, no properties</t>
  </si>
  <si>
    <t xml:space="preserve">test new rules on crossing rail lines, and NB/fur transfers</t>
  </si>
  <si>
    <t xml:space="preserve">← enter your next game in this row</t>
  </si>
  <si>
    <t xml:space="preserve">Player</t>
  </si>
  <si>
    <t xml:space="preserve">Wins</t>
  </si>
  <si>
    <t xml:space="preserve">Games Played</t>
  </si>
  <si>
    <t xml:space="preserve">Win %</t>
  </si>
  <si>
    <t xml:space="preserve">Wins This Year</t>
  </si>
  <si>
    <t xml:space="preserve">Games This Year</t>
  </si>
  <si>
    <t xml:space="preserve">Win % This Year</t>
  </si>
  <si>
    <t xml:space="preserve">Rod</t>
  </si>
  <si>
    <t xml:space="preserve">Miguel</t>
  </si>
  <si>
    <t xml:space="preserve">Andre</t>
  </si>
  <si>
    <t xml:space="preserve">Co-op games (Pandemic etc.)</t>
  </si>
  <si>
    <t xml:space="preserve">Team wins</t>
  </si>
  <si>
    <t xml:space="preserve">Team losses</t>
  </si>
  <si>
    <t xml:space="preserve">Times Played</t>
  </si>
  <si>
    <t xml:space="preserve">Last Played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</si>
</sst>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339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3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44"/>
    <col collapsed="false" customWidth="true" hidden="false" outlineLevel="0" max="5" min="5" style="1" width="10"/>
    <col collapsed="false" customWidth="true" hidden="false" outlineLevel="0" max="6" min="6" style="1" width="44"/>
  </cols>
  <sheetData>
    <row r="1" customFormat="false" ht="1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</row>
    <row r="2" customFormat="false" ht="15" hidden="false" customHeight="true" outlineLevel="0" collapsed="false">
      <c r="A2" s="5" t="n">
        <v>42067</v>
      </c>
      <c r="B2" s="6" t="s">
        <v>17</v>
      </c>
      <c r="C2" s="6" t="s">
        <v>18</v>
      </c>
      <c r="D2" s="6" t="s">
        <v>19</v>
      </c>
      <c r="E2" s="6" t="n">
        <f aca="false">IF($D2="",0,LEN($D2)-LEN(SUBSTITUTE($D2,",",""))+1)</f>
        <v>4</v>
      </c>
      <c r="F2" s="6"/>
    </row>
    <row r="3" customFormat="false" ht="15" hidden="false" customHeight="true" outlineLevel="0" collapsed="false">
      <c r="A3" s="5" t="n">
        <v>42067</v>
      </c>
      <c r="B3" s="6" t="s">
        <v>20</v>
      </c>
      <c r="C3" s="6" t="s">
        <v>21</v>
      </c>
      <c r="D3" s="6" t="s">
        <v>19</v>
      </c>
      <c r="E3" s="6" t="n">
        <f aca="false">IF($D3="",0,LEN($D3)-LEN(SUBSTITUTE($D3,",",""))+1)</f>
        <v>4</v>
      </c>
      <c r="F3" s="6"/>
    </row>
    <row r="4" customFormat="false" ht="15" hidden="false" customHeight="true" outlineLevel="0" collapsed="false">
      <c r="A4" s="5" t="n">
        <v>42067</v>
      </c>
      <c r="B4" s="6" t="s">
        <v>20</v>
      </c>
      <c r="C4" s="6" t="s">
        <v>22</v>
      </c>
      <c r="D4" s="6" t="s">
        <v>22</v>
      </c>
      <c r="E4" s="6" t="n">
        <f aca="false">IF($D4="",0,LEN($D4)-LEN(SUBSTITUTE($D4,",",""))+1)</f>
        <v>1</v>
      </c>
      <c r="F4" s="6"/>
    </row>
    <row r="5" customFormat="false" ht="15" hidden="false" customHeight="true" outlineLevel="0" collapsed="false">
      <c r="A5" s="5" t="n">
        <v>42068</v>
      </c>
      <c r="B5" s="6" t="s">
        <v>23</v>
      </c>
      <c r="C5" s="6" t="s">
        <v>24</v>
      </c>
      <c r="D5" s="6" t="s">
        <v>24</v>
      </c>
      <c r="E5" s="6" t="n">
        <f aca="false">IF($D5="",0,LEN($D5)-LEN(SUBSTITUTE($D5,",",""))+1)</f>
        <v>1</v>
      </c>
      <c r="F5" s="6"/>
    </row>
    <row r="6" customFormat="false" ht="15" hidden="false" customHeight="true" outlineLevel="0" collapsed="false">
      <c r="A6" s="5" t="n">
        <v>42068</v>
      </c>
      <c r="B6" s="6" t="s">
        <v>17</v>
      </c>
      <c r="C6" s="6" t="s">
        <v>25</v>
      </c>
      <c r="D6" s="6" t="s">
        <v>26</v>
      </c>
      <c r="E6" s="6" t="n">
        <f aca="false">IF($D6="",0,LEN($D6)-LEN(SUBSTITUTE($D6,",",""))+1)</f>
        <v>6</v>
      </c>
      <c r="F6" s="6"/>
    </row>
    <row r="7" customFormat="false" ht="15" hidden="false" customHeight="true" outlineLevel="0" collapsed="false">
      <c r="A7" s="5" t="n">
        <v>42070</v>
      </c>
      <c r="B7" s="6" t="s">
        <v>27</v>
      </c>
      <c r="C7" s="6" t="s">
        <v>21</v>
      </c>
      <c r="D7" s="6" t="s">
        <v>28</v>
      </c>
      <c r="E7" s="6" t="n">
        <f aca="false">IF($D7="",0,LEN($D7)-LEN(SUBSTITUTE($D7,",",""))+1)</f>
        <v>4</v>
      </c>
      <c r="F7" s="6"/>
    </row>
    <row r="8" customFormat="false" ht="15" hidden="false" customHeight="true" outlineLevel="0" collapsed="false">
      <c r="A8" s="5" t="n">
        <v>42070</v>
      </c>
      <c r="B8" s="6" t="s">
        <v>23</v>
      </c>
      <c r="C8" s="6" t="s">
        <v>21</v>
      </c>
      <c r="D8" s="6" t="s">
        <v>29</v>
      </c>
      <c r="E8" s="6" t="n">
        <f aca="false">IF($D8="",0,LEN($D8)-LEN(SUBSTITUTE($D8,",",""))+1)</f>
        <v>5</v>
      </c>
      <c r="F8" s="6"/>
    </row>
    <row r="9" customFormat="false" ht="15" hidden="false" customHeight="true" outlineLevel="0" collapsed="false">
      <c r="A9" s="5" t="n">
        <v>42071</v>
      </c>
      <c r="B9" s="6" t="s">
        <v>30</v>
      </c>
      <c r="C9" s="6" t="s">
        <v>22</v>
      </c>
      <c r="D9" s="6" t="s">
        <v>19</v>
      </c>
      <c r="E9" s="6" t="n">
        <f aca="false">IF($D9="",0,LEN($D9)-LEN(SUBSTITUTE($D9,",",""))+1)</f>
        <v>4</v>
      </c>
      <c r="F9" s="6"/>
    </row>
    <row r="10" customFormat="false" ht="15" hidden="false" customHeight="true" outlineLevel="0" collapsed="false">
      <c r="A10" s="5" t="n">
        <v>42071</v>
      </c>
      <c r="B10" s="6" t="s">
        <v>30</v>
      </c>
      <c r="C10" s="6" t="s">
        <v>24</v>
      </c>
      <c r="D10" s="6" t="s">
        <v>19</v>
      </c>
      <c r="E10" s="6" t="n">
        <f aca="false">IF($D10="",0,LEN($D10)-LEN(SUBSTITUTE($D10,",",""))+1)</f>
        <v>4</v>
      </c>
      <c r="F10" s="6"/>
    </row>
    <row r="11" customFormat="false" ht="15" hidden="false" customHeight="true" outlineLevel="0" collapsed="false">
      <c r="A11" s="5" t="n">
        <v>42071</v>
      </c>
      <c r="B11" s="6" t="s">
        <v>23</v>
      </c>
      <c r="C11" s="6" t="s">
        <v>31</v>
      </c>
      <c r="D11" s="6" t="s">
        <v>29</v>
      </c>
      <c r="E11" s="6" t="n">
        <f aca="false">IF($D11="",0,LEN($D11)-LEN(SUBSTITUTE($D11,",",""))+1)</f>
        <v>5</v>
      </c>
      <c r="F11" s="6"/>
    </row>
    <row r="12" customFormat="false" ht="15" hidden="false" customHeight="true" outlineLevel="0" collapsed="false">
      <c r="A12" s="5" t="n">
        <v>42071</v>
      </c>
      <c r="B12" s="6" t="s">
        <v>30</v>
      </c>
      <c r="C12" s="6" t="s">
        <v>21</v>
      </c>
      <c r="D12" s="6" t="s">
        <v>32</v>
      </c>
      <c r="E12" s="6" t="n">
        <f aca="false">IF($D12="",0,LEN($D12)-LEN(SUBSTITUTE($D12,",",""))+1)</f>
        <v>4</v>
      </c>
      <c r="F12" s="6"/>
    </row>
    <row r="13" customFormat="false" ht="15" hidden="false" customHeight="true" outlineLevel="0" collapsed="false">
      <c r="A13" s="5" t="n">
        <v>42071</v>
      </c>
      <c r="B13" s="6" t="s">
        <v>30</v>
      </c>
      <c r="C13" s="6" t="s">
        <v>33</v>
      </c>
      <c r="D13" s="6" t="s">
        <v>32</v>
      </c>
      <c r="E13" s="6" t="n">
        <f aca="false">IF($D13="",0,LEN($D13)-LEN(SUBSTITUTE($D13,",",""))+1)</f>
        <v>4</v>
      </c>
      <c r="F13" s="6"/>
    </row>
    <row r="14" customFormat="false" ht="15" hidden="false" customHeight="true" outlineLevel="0" collapsed="false">
      <c r="A14" s="5" t="n">
        <v>42071</v>
      </c>
      <c r="B14" s="6" t="s">
        <v>30</v>
      </c>
      <c r="C14" s="6" t="s">
        <v>21</v>
      </c>
      <c r="D14" s="6" t="s">
        <v>34</v>
      </c>
      <c r="E14" s="6" t="n">
        <f aca="false">IF($D14="",0,LEN($D14)-LEN(SUBSTITUTE($D14,",",""))+1)</f>
        <v>3</v>
      </c>
      <c r="F14" s="6"/>
    </row>
    <row r="15" customFormat="false" ht="15" hidden="false" customHeight="true" outlineLevel="0" collapsed="false">
      <c r="A15" s="5" t="n">
        <v>42078</v>
      </c>
      <c r="B15" s="6" t="s">
        <v>27</v>
      </c>
      <c r="C15" s="6" t="s">
        <v>33</v>
      </c>
      <c r="D15" s="6" t="s">
        <v>32</v>
      </c>
      <c r="E15" s="6" t="n">
        <f aca="false">IF($D15="",0,LEN($D15)-LEN(SUBSTITUTE($D15,",",""))+1)</f>
        <v>4</v>
      </c>
      <c r="F15" s="6"/>
    </row>
    <row r="16" customFormat="false" ht="15" hidden="false" customHeight="true" outlineLevel="0" collapsed="false">
      <c r="A16" s="5" t="n">
        <v>42078</v>
      </c>
      <c r="B16" s="6" t="s">
        <v>23</v>
      </c>
      <c r="C16" s="6" t="s">
        <v>21</v>
      </c>
      <c r="D16" s="6" t="s">
        <v>19</v>
      </c>
      <c r="E16" s="6" t="n">
        <f aca="false">IF($D16="",0,LEN($D16)-LEN(SUBSTITUTE($D16,",",""))+1)</f>
        <v>4</v>
      </c>
      <c r="F16" s="6"/>
    </row>
    <row r="17" customFormat="false" ht="15" hidden="false" customHeight="true" outlineLevel="0" collapsed="false">
      <c r="A17" s="5" t="n">
        <v>42083</v>
      </c>
      <c r="B17" s="6" t="s">
        <v>20</v>
      </c>
      <c r="C17" s="6" t="s">
        <v>24</v>
      </c>
      <c r="D17" s="6" t="s">
        <v>26</v>
      </c>
      <c r="E17" s="6" t="n">
        <f aca="false">IF($D17="",0,LEN($D17)-LEN(SUBSTITUTE($D17,",",""))+1)</f>
        <v>6</v>
      </c>
      <c r="F17" s="6"/>
    </row>
    <row r="18" customFormat="false" ht="15" hidden="false" customHeight="true" outlineLevel="0" collapsed="false">
      <c r="A18" s="5" t="n">
        <v>42083</v>
      </c>
      <c r="B18" s="6" t="s">
        <v>20</v>
      </c>
      <c r="C18" s="6" t="s">
        <v>35</v>
      </c>
      <c r="D18" s="6" t="s">
        <v>35</v>
      </c>
      <c r="E18" s="6" t="n">
        <f aca="false">IF($D18="",0,LEN($D18)-LEN(SUBSTITUTE($D18,",",""))+1)</f>
        <v>1</v>
      </c>
      <c r="F18" s="6"/>
    </row>
    <row r="19" customFormat="false" ht="15" hidden="false" customHeight="true" outlineLevel="0" collapsed="false">
      <c r="A19" s="5" t="n">
        <v>42083</v>
      </c>
      <c r="B19" s="6" t="s">
        <v>36</v>
      </c>
      <c r="C19" s="6" t="s">
        <v>37</v>
      </c>
      <c r="D19" s="6" t="s">
        <v>38</v>
      </c>
      <c r="E19" s="6" t="n">
        <f aca="false">IF($D19="",0,LEN($D19)-LEN(SUBSTITUTE($D19,",",""))+1)</f>
        <v>6</v>
      </c>
      <c r="F19" s="6"/>
    </row>
    <row r="20" customFormat="false" ht="15" hidden="false" customHeight="true" outlineLevel="0" collapsed="false">
      <c r="A20" s="5" t="n">
        <v>42083</v>
      </c>
      <c r="B20" s="6" t="s">
        <v>20</v>
      </c>
      <c r="C20" s="6" t="s">
        <v>22</v>
      </c>
      <c r="D20" s="6" t="s">
        <v>22</v>
      </c>
      <c r="E20" s="6" t="n">
        <f aca="false">IF($D20="",0,LEN($D20)-LEN(SUBSTITUTE($D20,",",""))+1)</f>
        <v>1</v>
      </c>
      <c r="F20" s="6"/>
    </row>
    <row r="21" customFormat="false" ht="15" hidden="false" customHeight="true" outlineLevel="0" collapsed="false">
      <c r="A21" s="5" t="n">
        <v>42091</v>
      </c>
      <c r="B21" s="6" t="s">
        <v>17</v>
      </c>
      <c r="C21" s="6" t="s">
        <v>39</v>
      </c>
      <c r="D21" s="6" t="s">
        <v>40</v>
      </c>
      <c r="E21" s="6" t="n">
        <f aca="false">IF($D21="",0,LEN($D21)-LEN(SUBSTITUTE($D21,",",""))+1)</f>
        <v>7</v>
      </c>
      <c r="F21" s="6"/>
    </row>
    <row r="22" customFormat="false" ht="15" hidden="false" customHeight="true" outlineLevel="0" collapsed="false">
      <c r="A22" s="5" t="n">
        <v>42091</v>
      </c>
      <c r="B22" s="6" t="s">
        <v>20</v>
      </c>
      <c r="C22" s="6" t="s">
        <v>41</v>
      </c>
      <c r="D22" s="6" t="s">
        <v>40</v>
      </c>
      <c r="E22" s="6" t="n">
        <f aca="false">IF($D22="",0,LEN($D22)-LEN(SUBSTITUTE($D22,",",""))+1)</f>
        <v>7</v>
      </c>
      <c r="F22" s="6"/>
    </row>
    <row r="23" customFormat="false" ht="15" hidden="false" customHeight="true" outlineLevel="0" collapsed="false">
      <c r="A23" s="5" t="n">
        <v>42091</v>
      </c>
      <c r="B23" s="6" t="s">
        <v>20</v>
      </c>
      <c r="C23" s="6" t="s">
        <v>35</v>
      </c>
      <c r="D23" s="6" t="s">
        <v>40</v>
      </c>
      <c r="E23" s="6" t="n">
        <f aca="false">IF($D23="",0,LEN($D23)-LEN(SUBSTITUTE($D23,",",""))+1)</f>
        <v>7</v>
      </c>
      <c r="F23" s="6"/>
    </row>
    <row r="24" customFormat="false" ht="15" hidden="false" customHeight="true" outlineLevel="0" collapsed="false">
      <c r="A24" s="5" t="n">
        <v>42091</v>
      </c>
      <c r="B24" s="6" t="s">
        <v>20</v>
      </c>
      <c r="C24" s="6" t="s">
        <v>33</v>
      </c>
      <c r="D24" s="6" t="s">
        <v>34</v>
      </c>
      <c r="E24" s="6" t="n">
        <f aca="false">IF($D24="",0,LEN($D24)-LEN(SUBSTITUTE($D24,",",""))+1)</f>
        <v>3</v>
      </c>
      <c r="F24" s="6"/>
    </row>
    <row r="25" customFormat="false" ht="15" hidden="false" customHeight="true" outlineLevel="0" collapsed="false">
      <c r="A25" s="5" t="n">
        <v>42097</v>
      </c>
      <c r="B25" s="6" t="s">
        <v>42</v>
      </c>
      <c r="C25" s="6" t="s">
        <v>33</v>
      </c>
      <c r="D25" s="6" t="s">
        <v>33</v>
      </c>
      <c r="E25" s="6" t="n">
        <f aca="false">IF($D25="",0,LEN($D25)-LEN(SUBSTITUTE($D25,",",""))+1)</f>
        <v>1</v>
      </c>
      <c r="F25" s="6"/>
    </row>
    <row r="26" customFormat="false" ht="15" hidden="false" customHeight="true" outlineLevel="0" collapsed="false">
      <c r="A26" s="5" t="n">
        <v>42114</v>
      </c>
      <c r="B26" s="6" t="s">
        <v>17</v>
      </c>
      <c r="C26" s="6" t="s">
        <v>39</v>
      </c>
      <c r="D26" s="6" t="s">
        <v>43</v>
      </c>
      <c r="E26" s="6" t="n">
        <f aca="false">IF($D26="",0,LEN($D26)-LEN(SUBSTITUTE($D26,",",""))+1)</f>
        <v>5</v>
      </c>
      <c r="F26" s="6"/>
    </row>
    <row r="27" customFormat="false" ht="15" hidden="false" customHeight="true" outlineLevel="0" collapsed="false">
      <c r="A27" s="5" t="n">
        <v>42114</v>
      </c>
      <c r="B27" s="6" t="s">
        <v>42</v>
      </c>
      <c r="C27" s="6" t="s">
        <v>22</v>
      </c>
      <c r="D27" s="6" t="s">
        <v>22</v>
      </c>
      <c r="E27" s="6" t="n">
        <f aca="false">IF($D27="",0,LEN($D27)-LEN(SUBSTITUTE($D27,",",""))+1)</f>
        <v>1</v>
      </c>
      <c r="F27" s="6"/>
    </row>
    <row r="28" customFormat="false" ht="15" hidden="false" customHeight="true" outlineLevel="0" collapsed="false">
      <c r="A28" s="5" t="n">
        <v>42119</v>
      </c>
      <c r="B28" s="6" t="s">
        <v>17</v>
      </c>
      <c r="C28" s="6" t="s">
        <v>44</v>
      </c>
      <c r="D28" s="6" t="s">
        <v>45</v>
      </c>
      <c r="E28" s="6" t="n">
        <f aca="false">IF($D28="",0,LEN($D28)-LEN(SUBSTITUTE($D28,",",""))+1)</f>
        <v>5</v>
      </c>
      <c r="F28" s="6"/>
    </row>
    <row r="29" customFormat="false" ht="15" hidden="false" customHeight="true" outlineLevel="0" collapsed="false">
      <c r="A29" s="5" t="n">
        <v>42119</v>
      </c>
      <c r="B29" s="6" t="s">
        <v>46</v>
      </c>
      <c r="C29" s="6" t="s">
        <v>24</v>
      </c>
      <c r="D29" s="6" t="s">
        <v>24</v>
      </c>
      <c r="E29" s="6" t="n">
        <f aca="false">IF($D29="",0,LEN($D29)-LEN(SUBSTITUTE($D29,",",""))+1)</f>
        <v>1</v>
      </c>
      <c r="F29" s="6"/>
    </row>
    <row r="30" customFormat="false" ht="15" hidden="false" customHeight="true" outlineLevel="0" collapsed="false">
      <c r="A30" s="5" t="n">
        <v>42119</v>
      </c>
      <c r="B30" s="6" t="s">
        <v>23</v>
      </c>
      <c r="C30" s="6" t="s">
        <v>33</v>
      </c>
      <c r="D30" s="6" t="s">
        <v>33</v>
      </c>
      <c r="E30" s="6" t="n">
        <f aca="false">IF($D30="",0,LEN($D30)-LEN(SUBSTITUTE($D30,",",""))+1)</f>
        <v>1</v>
      </c>
      <c r="F30" s="6"/>
    </row>
    <row r="31" customFormat="false" ht="15" hidden="false" customHeight="true" outlineLevel="0" collapsed="false">
      <c r="A31" s="5" t="n">
        <v>42119</v>
      </c>
      <c r="B31" s="6" t="s">
        <v>23</v>
      </c>
      <c r="C31" s="6" t="s">
        <v>33</v>
      </c>
      <c r="D31" s="6" t="s">
        <v>45</v>
      </c>
      <c r="E31" s="6" t="n">
        <f aca="false">IF($D31="",0,LEN($D31)-LEN(SUBSTITUTE($D31,",",""))+1)</f>
        <v>5</v>
      </c>
      <c r="F31" s="6"/>
    </row>
    <row r="32" customFormat="false" ht="15" hidden="false" customHeight="true" outlineLevel="0" collapsed="false">
      <c r="A32" s="5" t="n">
        <v>42139</v>
      </c>
      <c r="B32" s="6" t="s">
        <v>42</v>
      </c>
      <c r="C32" s="6" t="s">
        <v>33</v>
      </c>
      <c r="D32" s="6" t="s">
        <v>33</v>
      </c>
      <c r="E32" s="6" t="n">
        <f aca="false">IF($D32="",0,LEN($D32)-LEN(SUBSTITUTE($D32,",",""))+1)</f>
        <v>1</v>
      </c>
      <c r="F32" s="6"/>
    </row>
    <row r="33" customFormat="false" ht="15" hidden="false" customHeight="true" outlineLevel="0" collapsed="false">
      <c r="A33" s="5" t="n">
        <v>42139</v>
      </c>
      <c r="B33" s="6" t="s">
        <v>17</v>
      </c>
      <c r="C33" s="6" t="s">
        <v>47</v>
      </c>
      <c r="D33" s="6" t="s">
        <v>47</v>
      </c>
      <c r="E33" s="6" t="n">
        <f aca="false">IF($D33="",0,LEN($D33)-LEN(SUBSTITUTE($D33,",",""))+1)</f>
        <v>3</v>
      </c>
      <c r="F33" s="6"/>
    </row>
    <row r="34" customFormat="false" ht="15" hidden="false" customHeight="true" outlineLevel="0" collapsed="false">
      <c r="A34" s="5" t="n">
        <v>42146</v>
      </c>
      <c r="B34" s="6" t="s">
        <v>17</v>
      </c>
      <c r="C34" s="6" t="s">
        <v>39</v>
      </c>
      <c r="D34" s="6"/>
      <c r="E34" s="6" t="n">
        <f aca="false">IF($D34="",0,LEN($D34)-LEN(SUBSTITUTE($D34,",",""))+1)</f>
        <v>0</v>
      </c>
      <c r="F34" s="6"/>
    </row>
    <row r="35" customFormat="false" ht="15" hidden="false" customHeight="true" outlineLevel="0" collapsed="false">
      <c r="A35" s="5" t="n">
        <v>42146</v>
      </c>
      <c r="B35" s="6" t="s">
        <v>17</v>
      </c>
      <c r="C35" s="6" t="s">
        <v>48</v>
      </c>
      <c r="D35" s="6" t="s">
        <v>49</v>
      </c>
      <c r="E35" s="6" t="n">
        <f aca="false">IF($D35="",0,LEN($D35)-LEN(SUBSTITUTE($D35,",",""))+1)</f>
        <v>5</v>
      </c>
      <c r="F35" s="6"/>
    </row>
    <row r="36" customFormat="false" ht="15" hidden="false" customHeight="true" outlineLevel="0" collapsed="false">
      <c r="A36" s="5" t="n">
        <v>42146</v>
      </c>
      <c r="B36" s="6" t="s">
        <v>27</v>
      </c>
      <c r="C36" s="6" t="s">
        <v>33</v>
      </c>
      <c r="D36" s="6" t="s">
        <v>43</v>
      </c>
      <c r="E36" s="6" t="n">
        <f aca="false">IF($D36="",0,LEN($D36)-LEN(SUBSTITUTE($D36,",",""))+1)</f>
        <v>5</v>
      </c>
      <c r="F36" s="6"/>
    </row>
    <row r="37" customFormat="false" ht="15" hidden="false" customHeight="true" outlineLevel="0" collapsed="false">
      <c r="A37" s="5" t="n">
        <v>42147</v>
      </c>
      <c r="B37" s="6" t="s">
        <v>42</v>
      </c>
      <c r="C37" s="6" t="s">
        <v>35</v>
      </c>
      <c r="D37" s="6" t="s">
        <v>29</v>
      </c>
      <c r="E37" s="6" t="n">
        <f aca="false">IF($D37="",0,LEN($D37)-LEN(SUBSTITUTE($D37,",",""))+1)</f>
        <v>5</v>
      </c>
      <c r="F37" s="6"/>
    </row>
    <row r="38" customFormat="false" ht="15" hidden="false" customHeight="true" outlineLevel="0" collapsed="false">
      <c r="A38" s="5" t="n">
        <v>42153</v>
      </c>
      <c r="B38" s="6" t="s">
        <v>27</v>
      </c>
      <c r="C38" s="6" t="s">
        <v>35</v>
      </c>
      <c r="D38" s="6" t="s">
        <v>50</v>
      </c>
      <c r="E38" s="6" t="n">
        <f aca="false">IF($D38="",0,LEN($D38)-LEN(SUBSTITUTE($D38,",",""))+1)</f>
        <v>4</v>
      </c>
      <c r="F38" s="6"/>
    </row>
    <row r="39" customFormat="false" ht="15" hidden="false" customHeight="true" outlineLevel="0" collapsed="false">
      <c r="A39" s="5" t="n">
        <v>42168</v>
      </c>
      <c r="B39" s="6" t="s">
        <v>51</v>
      </c>
      <c r="C39" s="6" t="s">
        <v>52</v>
      </c>
      <c r="D39" s="6" t="s">
        <v>53</v>
      </c>
      <c r="E39" s="6" t="n">
        <f aca="false">IF($D39="",0,LEN($D39)-LEN(SUBSTITUTE($D39,",",""))+1)</f>
        <v>4</v>
      </c>
      <c r="F39" s="6"/>
    </row>
    <row r="40" customFormat="false" ht="15" hidden="false" customHeight="true" outlineLevel="0" collapsed="false">
      <c r="A40" s="5" t="n">
        <v>42175</v>
      </c>
      <c r="B40" s="6" t="s">
        <v>42</v>
      </c>
      <c r="C40" s="6" t="s">
        <v>33</v>
      </c>
      <c r="D40" s="6" t="s">
        <v>19</v>
      </c>
      <c r="E40" s="6" t="n">
        <f aca="false">IF($D40="",0,LEN($D40)-LEN(SUBSTITUTE($D40,",",""))+1)</f>
        <v>4</v>
      </c>
      <c r="F40" s="6"/>
    </row>
    <row r="41" customFormat="false" ht="15" hidden="false" customHeight="true" outlineLevel="0" collapsed="false">
      <c r="A41" s="5" t="n">
        <v>42182</v>
      </c>
      <c r="B41" s="6" t="s">
        <v>42</v>
      </c>
      <c r="C41" s="6" t="s">
        <v>21</v>
      </c>
      <c r="D41" s="6" t="s">
        <v>19</v>
      </c>
      <c r="E41" s="6" t="n">
        <f aca="false">IF($D41="",0,LEN($D41)-LEN(SUBSTITUTE($D41,",",""))+1)</f>
        <v>4</v>
      </c>
      <c r="F41" s="6"/>
    </row>
    <row r="42" customFormat="false" ht="15" hidden="false" customHeight="true" outlineLevel="0" collapsed="false">
      <c r="A42" s="5" t="n">
        <v>42186</v>
      </c>
      <c r="B42" s="6" t="s">
        <v>51</v>
      </c>
      <c r="C42" s="6" t="s">
        <v>21</v>
      </c>
      <c r="D42" s="6" t="s">
        <v>34</v>
      </c>
      <c r="E42" s="6" t="n">
        <f aca="false">IF($D42="",0,LEN($D42)-LEN(SUBSTITUTE($D42,",",""))+1)</f>
        <v>3</v>
      </c>
      <c r="F42" s="6"/>
    </row>
    <row r="43" customFormat="false" ht="15" hidden="false" customHeight="true" outlineLevel="0" collapsed="false">
      <c r="A43" s="5" t="n">
        <v>42186</v>
      </c>
      <c r="B43" s="6" t="s">
        <v>54</v>
      </c>
      <c r="C43" s="6" t="s">
        <v>33</v>
      </c>
      <c r="D43" s="6" t="s">
        <v>55</v>
      </c>
      <c r="E43" s="6" t="n">
        <f aca="false">IF($D43="",0,LEN($D43)-LEN(SUBSTITUTE($D43,",",""))+1)</f>
        <v>4</v>
      </c>
      <c r="F43" s="6"/>
    </row>
    <row r="44" customFormat="false" ht="15" hidden="false" customHeight="true" outlineLevel="0" collapsed="false">
      <c r="A44" s="5" t="n">
        <v>42193</v>
      </c>
      <c r="B44" s="6" t="s">
        <v>51</v>
      </c>
      <c r="C44" s="6" t="s">
        <v>21</v>
      </c>
      <c r="D44" s="6" t="s">
        <v>56</v>
      </c>
      <c r="E44" s="6" t="n">
        <f aca="false">IF($D44="",0,LEN($D44)-LEN(SUBSTITUTE($D44,",",""))+1)</f>
        <v>3</v>
      </c>
      <c r="F44" s="6"/>
    </row>
    <row r="45" customFormat="false" ht="15" hidden="false" customHeight="true" outlineLevel="0" collapsed="false">
      <c r="A45" s="5" t="n">
        <v>42193</v>
      </c>
      <c r="B45" s="6" t="s">
        <v>30</v>
      </c>
      <c r="C45" s="6" t="s">
        <v>33</v>
      </c>
      <c r="D45" s="6" t="s">
        <v>56</v>
      </c>
      <c r="E45" s="6" t="n">
        <f aca="false">IF($D45="",0,LEN($D45)-LEN(SUBSTITUTE($D45,",",""))+1)</f>
        <v>3</v>
      </c>
      <c r="F45" s="6"/>
    </row>
    <row r="46" customFormat="false" ht="15" hidden="false" customHeight="true" outlineLevel="0" collapsed="false">
      <c r="A46" s="5" t="n">
        <v>42193</v>
      </c>
      <c r="B46" s="6" t="s">
        <v>30</v>
      </c>
      <c r="C46" s="6" t="s">
        <v>35</v>
      </c>
      <c r="D46" s="6" t="s">
        <v>56</v>
      </c>
      <c r="E46" s="6" t="n">
        <f aca="false">IF($D46="",0,LEN($D46)-LEN(SUBSTITUTE($D46,",",""))+1)</f>
        <v>3</v>
      </c>
      <c r="F46" s="6"/>
    </row>
    <row r="47" customFormat="false" ht="15" hidden="false" customHeight="true" outlineLevel="0" collapsed="false">
      <c r="A47" s="5" t="n">
        <v>42194</v>
      </c>
      <c r="B47" s="6" t="s">
        <v>54</v>
      </c>
      <c r="C47" s="6" t="s">
        <v>21</v>
      </c>
      <c r="D47" s="6" t="s">
        <v>57</v>
      </c>
      <c r="E47" s="6" t="n">
        <f aca="false">IF($D47="",0,LEN($D47)-LEN(SUBSTITUTE($D47,",",""))+1)</f>
        <v>3</v>
      </c>
      <c r="F47" s="6"/>
    </row>
    <row r="48" customFormat="false" ht="15" hidden="false" customHeight="true" outlineLevel="0" collapsed="false">
      <c r="A48" s="5" t="n">
        <v>42196</v>
      </c>
      <c r="B48" s="6" t="s">
        <v>30</v>
      </c>
      <c r="C48" s="6" t="s">
        <v>21</v>
      </c>
      <c r="D48" s="6" t="s">
        <v>57</v>
      </c>
      <c r="E48" s="6" t="n">
        <f aca="false">IF($D48="",0,LEN($D48)-LEN(SUBSTITUTE($D48,",",""))+1)</f>
        <v>3</v>
      </c>
      <c r="F48" s="6"/>
    </row>
    <row r="49" customFormat="false" ht="15" hidden="false" customHeight="true" outlineLevel="0" collapsed="false">
      <c r="A49" s="5" t="n">
        <v>42196</v>
      </c>
      <c r="B49" s="6" t="s">
        <v>30</v>
      </c>
      <c r="C49" s="6" t="s">
        <v>21</v>
      </c>
      <c r="D49" s="6" t="s">
        <v>57</v>
      </c>
      <c r="E49" s="6" t="n">
        <f aca="false">IF($D49="",0,LEN($D49)-LEN(SUBSTITUTE($D49,",",""))+1)</f>
        <v>3</v>
      </c>
      <c r="F49" s="6"/>
    </row>
    <row r="50" customFormat="false" ht="15" hidden="false" customHeight="true" outlineLevel="0" collapsed="false">
      <c r="A50" s="5" t="n">
        <v>42196</v>
      </c>
      <c r="B50" s="6" t="s">
        <v>30</v>
      </c>
      <c r="C50" s="6" t="s">
        <v>21</v>
      </c>
      <c r="D50" s="6" t="s">
        <v>57</v>
      </c>
      <c r="E50" s="6" t="n">
        <f aca="false">IF($D50="",0,LEN($D50)-LEN(SUBSTITUTE($D50,",",""))+1)</f>
        <v>3</v>
      </c>
      <c r="F50" s="6"/>
    </row>
    <row r="51" customFormat="false" ht="15" hidden="false" customHeight="true" outlineLevel="0" collapsed="false">
      <c r="A51" s="5" t="n">
        <v>42196</v>
      </c>
      <c r="B51" s="6" t="s">
        <v>30</v>
      </c>
      <c r="C51" s="6" t="s">
        <v>21</v>
      </c>
      <c r="D51" s="6" t="s">
        <v>57</v>
      </c>
      <c r="E51" s="6" t="n">
        <f aca="false">IF($D51="",0,LEN($D51)-LEN(SUBSTITUTE($D51,",",""))+1)</f>
        <v>3</v>
      </c>
      <c r="F51" s="6"/>
    </row>
    <row r="52" customFormat="false" ht="15" hidden="false" customHeight="true" outlineLevel="0" collapsed="false">
      <c r="A52" s="5" t="n">
        <v>42196</v>
      </c>
      <c r="B52" s="6" t="s">
        <v>30</v>
      </c>
      <c r="C52" s="6" t="s">
        <v>21</v>
      </c>
      <c r="D52" s="6" t="s">
        <v>28</v>
      </c>
      <c r="E52" s="6" t="n">
        <f aca="false">IF($D52="",0,LEN($D52)-LEN(SUBSTITUTE($D52,",",""))+1)</f>
        <v>4</v>
      </c>
      <c r="F52" s="6"/>
    </row>
    <row r="53" customFormat="false" ht="15" hidden="false" customHeight="true" outlineLevel="0" collapsed="false">
      <c r="A53" s="5" t="n">
        <v>42204</v>
      </c>
      <c r="B53" s="6" t="s">
        <v>51</v>
      </c>
      <c r="C53" s="6" t="s">
        <v>21</v>
      </c>
      <c r="D53" s="6" t="s">
        <v>58</v>
      </c>
      <c r="E53" s="6" t="n">
        <f aca="false">IF($D53="",0,LEN($D53)-LEN(SUBSTITUTE($D53,",",""))+1)</f>
        <v>5</v>
      </c>
      <c r="F53" s="6"/>
    </row>
    <row r="54" customFormat="false" ht="15" hidden="false" customHeight="true" outlineLevel="0" collapsed="false">
      <c r="A54" s="5" t="n">
        <v>42204</v>
      </c>
      <c r="B54" s="6" t="s">
        <v>30</v>
      </c>
      <c r="C54" s="6" t="s">
        <v>24</v>
      </c>
      <c r="D54" s="6" t="s">
        <v>58</v>
      </c>
      <c r="E54" s="6" t="n">
        <f aca="false">IF($D54="",0,LEN($D54)-LEN(SUBSTITUTE($D54,",",""))+1)</f>
        <v>5</v>
      </c>
      <c r="F54" s="6"/>
    </row>
    <row r="55" customFormat="false" ht="15" hidden="false" customHeight="true" outlineLevel="0" collapsed="false">
      <c r="A55" s="5" t="n">
        <v>42204</v>
      </c>
      <c r="B55" s="6" t="s">
        <v>23</v>
      </c>
      <c r="C55" s="6" t="s">
        <v>33</v>
      </c>
      <c r="D55" s="6" t="s">
        <v>56</v>
      </c>
      <c r="E55" s="6" t="n">
        <f aca="false">IF($D55="",0,LEN($D55)-LEN(SUBSTITUTE($D55,",",""))+1)</f>
        <v>3</v>
      </c>
      <c r="F55" s="6"/>
    </row>
    <row r="56" customFormat="false" ht="15" hidden="false" customHeight="true" outlineLevel="0" collapsed="false">
      <c r="A56" s="5" t="n">
        <v>42204</v>
      </c>
      <c r="B56" s="6" t="s">
        <v>36</v>
      </c>
      <c r="C56" s="6" t="s">
        <v>21</v>
      </c>
      <c r="D56" s="6" t="s">
        <v>59</v>
      </c>
      <c r="E56" s="6" t="n">
        <f aca="false">IF($D56="",0,LEN($D56)-LEN(SUBSTITUTE($D56,",",""))+1)</f>
        <v>2</v>
      </c>
      <c r="F56" s="6"/>
    </row>
    <row r="57" customFormat="false" ht="15" hidden="false" customHeight="true" outlineLevel="0" collapsed="false">
      <c r="A57" s="5" t="n">
        <v>42206</v>
      </c>
      <c r="B57" s="6" t="s">
        <v>60</v>
      </c>
      <c r="C57" s="6" t="s">
        <v>21</v>
      </c>
      <c r="D57" s="6" t="s">
        <v>59</v>
      </c>
      <c r="E57" s="6" t="n">
        <f aca="false">IF($D57="",0,LEN($D57)-LEN(SUBSTITUTE($D57,",",""))+1)</f>
        <v>2</v>
      </c>
      <c r="F57" s="6"/>
    </row>
    <row r="58" customFormat="false" ht="15" hidden="false" customHeight="true" outlineLevel="0" collapsed="false">
      <c r="A58" s="5" t="n">
        <v>42206</v>
      </c>
      <c r="B58" s="6" t="s">
        <v>60</v>
      </c>
      <c r="C58" s="6" t="s">
        <v>21</v>
      </c>
      <c r="D58" s="6" t="s">
        <v>59</v>
      </c>
      <c r="E58" s="6" t="n">
        <f aca="false">IF($D58="",0,LEN($D58)-LEN(SUBSTITUTE($D58,",",""))+1)</f>
        <v>2</v>
      </c>
      <c r="F58" s="6"/>
    </row>
    <row r="59" customFormat="false" ht="15" hidden="false" customHeight="true" outlineLevel="0" collapsed="false">
      <c r="A59" s="5" t="n">
        <v>42206</v>
      </c>
      <c r="B59" s="6" t="s">
        <v>60</v>
      </c>
      <c r="C59" s="6" t="s">
        <v>21</v>
      </c>
      <c r="D59" s="6" t="s">
        <v>59</v>
      </c>
      <c r="E59" s="6" t="n">
        <f aca="false">IF($D59="",0,LEN($D59)-LEN(SUBSTITUTE($D59,",",""))+1)</f>
        <v>2</v>
      </c>
      <c r="F59" s="6"/>
    </row>
    <row r="60" customFormat="false" ht="15" hidden="false" customHeight="true" outlineLevel="0" collapsed="false">
      <c r="A60" s="5" t="n">
        <v>42206</v>
      </c>
      <c r="B60" s="6" t="s">
        <v>54</v>
      </c>
      <c r="C60" s="6" t="s">
        <v>33</v>
      </c>
      <c r="D60" s="6" t="s">
        <v>55</v>
      </c>
      <c r="E60" s="6" t="n">
        <f aca="false">IF($D60="",0,LEN($D60)-LEN(SUBSTITUTE($D60,",",""))+1)</f>
        <v>4</v>
      </c>
      <c r="F60" s="6"/>
    </row>
    <row r="61" customFormat="false" ht="15" hidden="false" customHeight="true" outlineLevel="0" collapsed="false">
      <c r="A61" s="5" t="n">
        <v>42210</v>
      </c>
      <c r="B61" s="6" t="s">
        <v>30</v>
      </c>
      <c r="C61" s="6" t="s">
        <v>35</v>
      </c>
      <c r="D61" s="6" t="s">
        <v>43</v>
      </c>
      <c r="E61" s="6" t="n">
        <f aca="false">IF($D61="",0,LEN($D61)-LEN(SUBSTITUTE($D61,",",""))+1)</f>
        <v>5</v>
      </c>
      <c r="F61" s="6"/>
    </row>
    <row r="62" customFormat="false" ht="15" hidden="false" customHeight="true" outlineLevel="0" collapsed="false">
      <c r="A62" s="5" t="n">
        <v>42210</v>
      </c>
      <c r="B62" s="6" t="s">
        <v>42</v>
      </c>
      <c r="C62" s="6" t="s">
        <v>33</v>
      </c>
      <c r="D62" s="6" t="s">
        <v>61</v>
      </c>
      <c r="E62" s="6" t="n">
        <f aca="false">IF($D62="",0,LEN($D62)-LEN(SUBSTITUTE($D62,",",""))+1)</f>
        <v>2</v>
      </c>
      <c r="F62" s="6"/>
    </row>
    <row r="63" customFormat="false" ht="15" hidden="false" customHeight="true" outlineLevel="0" collapsed="false">
      <c r="A63" s="5" t="n">
        <v>42215</v>
      </c>
      <c r="B63" s="6" t="s">
        <v>23</v>
      </c>
      <c r="C63" s="6" t="s">
        <v>33</v>
      </c>
      <c r="D63" s="6" t="s">
        <v>62</v>
      </c>
      <c r="E63" s="6" t="n">
        <f aca="false">IF($D63="",0,LEN($D63)-LEN(SUBSTITUTE($D63,",",""))+1)</f>
        <v>3</v>
      </c>
      <c r="F63" s="6"/>
    </row>
    <row r="64" customFormat="false" ht="15" hidden="false" customHeight="true" outlineLevel="0" collapsed="false">
      <c r="A64" s="5" t="n">
        <v>42215</v>
      </c>
      <c r="B64" s="6" t="s">
        <v>23</v>
      </c>
      <c r="C64" s="6" t="s">
        <v>22</v>
      </c>
      <c r="D64" s="6" t="s">
        <v>19</v>
      </c>
      <c r="E64" s="6" t="n">
        <f aca="false">IF($D64="",0,LEN($D64)-LEN(SUBSTITUTE($D64,",",""))+1)</f>
        <v>4</v>
      </c>
      <c r="F64" s="6"/>
    </row>
    <row r="65" customFormat="false" ht="15" hidden="false" customHeight="true" outlineLevel="0" collapsed="false">
      <c r="A65" s="5" t="n">
        <v>42224</v>
      </c>
      <c r="B65" s="6" t="s">
        <v>42</v>
      </c>
      <c r="C65" s="6" t="s">
        <v>21</v>
      </c>
      <c r="D65" s="6" t="s">
        <v>57</v>
      </c>
      <c r="E65" s="6" t="n">
        <f aca="false">IF($D65="",0,LEN($D65)-LEN(SUBSTITUTE($D65,",",""))+1)</f>
        <v>3</v>
      </c>
      <c r="F65" s="6"/>
    </row>
    <row r="66" customFormat="false" ht="15" hidden="false" customHeight="true" outlineLevel="0" collapsed="false">
      <c r="A66" s="5" t="n">
        <v>42230</v>
      </c>
      <c r="B66" s="6" t="s">
        <v>63</v>
      </c>
      <c r="C66" s="6" t="s">
        <v>21</v>
      </c>
      <c r="D66" s="6" t="s">
        <v>57</v>
      </c>
      <c r="E66" s="6" t="n">
        <f aca="false">IF($D66="",0,LEN($D66)-LEN(SUBSTITUTE($D66,",",""))+1)</f>
        <v>3</v>
      </c>
      <c r="F66" s="6"/>
    </row>
    <row r="67" customFormat="false" ht="15" hidden="false" customHeight="true" outlineLevel="0" collapsed="false">
      <c r="A67" s="5" t="n">
        <v>42230</v>
      </c>
      <c r="B67" s="6" t="s">
        <v>20</v>
      </c>
      <c r="C67" s="6" t="s">
        <v>21</v>
      </c>
      <c r="D67" s="6" t="s">
        <v>57</v>
      </c>
      <c r="E67" s="6" t="n">
        <f aca="false">IF($D67="",0,LEN($D67)-LEN(SUBSTITUTE($D67,",",""))+1)</f>
        <v>3</v>
      </c>
      <c r="F67" s="6"/>
    </row>
    <row r="68" customFormat="false" ht="15" hidden="false" customHeight="true" outlineLevel="0" collapsed="false">
      <c r="A68" s="5" t="n">
        <v>42230</v>
      </c>
      <c r="B68" s="6" t="s">
        <v>30</v>
      </c>
      <c r="C68" s="6" t="s">
        <v>21</v>
      </c>
      <c r="D68" s="6" t="s">
        <v>57</v>
      </c>
      <c r="E68" s="6" t="n">
        <f aca="false">IF($D68="",0,LEN($D68)-LEN(SUBSTITUTE($D68,",",""))+1)</f>
        <v>3</v>
      </c>
      <c r="F68" s="6"/>
    </row>
    <row r="69" customFormat="false" ht="15" hidden="false" customHeight="true" outlineLevel="0" collapsed="false">
      <c r="A69" s="5" t="n">
        <v>42230</v>
      </c>
      <c r="B69" s="6" t="s">
        <v>30</v>
      </c>
      <c r="C69" s="6" t="s">
        <v>21</v>
      </c>
      <c r="D69" s="6" t="s">
        <v>59</v>
      </c>
      <c r="E69" s="6" t="n">
        <f aca="false">IF($D69="",0,LEN($D69)-LEN(SUBSTITUTE($D69,",",""))+1)</f>
        <v>2</v>
      </c>
      <c r="F69" s="6"/>
    </row>
    <row r="70" customFormat="false" ht="15" hidden="false" customHeight="true" outlineLevel="0" collapsed="false">
      <c r="A70" s="5" t="n">
        <v>42230</v>
      </c>
      <c r="B70" s="6" t="s">
        <v>54</v>
      </c>
      <c r="C70" s="6" t="s">
        <v>33</v>
      </c>
      <c r="D70" s="6" t="s">
        <v>57</v>
      </c>
      <c r="E70" s="6" t="n">
        <f aca="false">IF($D70="",0,LEN($D70)-LEN(SUBSTITUTE($D70,",",""))+1)</f>
        <v>3</v>
      </c>
      <c r="F70" s="6"/>
    </row>
    <row r="71" customFormat="false" ht="15" hidden="false" customHeight="true" outlineLevel="0" collapsed="false">
      <c r="A71" s="5" t="n">
        <v>42238</v>
      </c>
      <c r="B71" s="6" t="s">
        <v>30</v>
      </c>
      <c r="C71" s="6" t="s">
        <v>21</v>
      </c>
      <c r="D71" s="6" t="s">
        <v>57</v>
      </c>
      <c r="E71" s="6" t="n">
        <f aca="false">IF($D71="",0,LEN($D71)-LEN(SUBSTITUTE($D71,",",""))+1)</f>
        <v>3</v>
      </c>
      <c r="F71" s="6"/>
    </row>
    <row r="72" customFormat="false" ht="15" hidden="false" customHeight="true" outlineLevel="0" collapsed="false">
      <c r="A72" s="5" t="n">
        <v>42238</v>
      </c>
      <c r="B72" s="6" t="s">
        <v>30</v>
      </c>
      <c r="C72" s="6" t="s">
        <v>33</v>
      </c>
      <c r="D72" s="6" t="s">
        <v>57</v>
      </c>
      <c r="E72" s="6" t="n">
        <f aca="false">IF($D72="",0,LEN($D72)-LEN(SUBSTITUTE($D72,",",""))+1)</f>
        <v>3</v>
      </c>
      <c r="F72" s="6"/>
    </row>
    <row r="73" customFormat="false" ht="15" hidden="false" customHeight="true" outlineLevel="0" collapsed="false">
      <c r="A73" s="5" t="n">
        <v>42238</v>
      </c>
      <c r="B73" s="6" t="s">
        <v>30</v>
      </c>
      <c r="C73" s="6" t="s">
        <v>24</v>
      </c>
      <c r="D73" s="6" t="s">
        <v>57</v>
      </c>
      <c r="E73" s="6" t="n">
        <f aca="false">IF($D73="",0,LEN($D73)-LEN(SUBSTITUTE($D73,",",""))+1)</f>
        <v>3</v>
      </c>
      <c r="F73" s="6"/>
    </row>
    <row r="74" customFormat="false" ht="15" hidden="false" customHeight="true" outlineLevel="0" collapsed="false">
      <c r="A74" s="5" t="n">
        <v>42238</v>
      </c>
      <c r="B74" s="6" t="s">
        <v>30</v>
      </c>
      <c r="C74" s="6" t="s">
        <v>33</v>
      </c>
      <c r="D74" s="6" t="s">
        <v>59</v>
      </c>
      <c r="E74" s="6" t="n">
        <f aca="false">IF($D74="",0,LEN($D74)-LEN(SUBSTITUTE($D74,",",""))+1)</f>
        <v>2</v>
      </c>
      <c r="F74" s="6"/>
    </row>
    <row r="75" customFormat="false" ht="15" hidden="false" customHeight="true" outlineLevel="0" collapsed="false">
      <c r="A75" s="5" t="n">
        <v>42238</v>
      </c>
      <c r="B75" s="6" t="s">
        <v>54</v>
      </c>
      <c r="C75" s="6" t="s">
        <v>33</v>
      </c>
      <c r="D75" s="6" t="s">
        <v>64</v>
      </c>
      <c r="E75" s="6" t="n">
        <f aca="false">IF($D75="",0,LEN($D75)-LEN(SUBSTITUTE($D75,",",""))+1)</f>
        <v>4</v>
      </c>
      <c r="F75" s="6"/>
    </row>
    <row r="76" customFormat="false" ht="15" hidden="false" customHeight="true" outlineLevel="0" collapsed="false">
      <c r="A76" s="5" t="n">
        <v>42245</v>
      </c>
      <c r="B76" s="6" t="s">
        <v>51</v>
      </c>
      <c r="C76" s="6" t="s">
        <v>21</v>
      </c>
      <c r="D76" s="6" t="s">
        <v>19</v>
      </c>
      <c r="E76" s="6" t="n">
        <f aca="false">IF($D76="",0,LEN($D76)-LEN(SUBSTITUTE($D76,",",""))+1)</f>
        <v>4</v>
      </c>
      <c r="F76" s="6"/>
    </row>
    <row r="77" customFormat="false" ht="15" hidden="false" customHeight="true" outlineLevel="0" collapsed="false">
      <c r="A77" s="5" t="n">
        <v>42246</v>
      </c>
      <c r="B77" s="6" t="s">
        <v>30</v>
      </c>
      <c r="C77" s="6" t="s">
        <v>21</v>
      </c>
      <c r="D77" s="6" t="s">
        <v>19</v>
      </c>
      <c r="E77" s="6" t="n">
        <f aca="false">IF($D77="",0,LEN($D77)-LEN(SUBSTITUTE($D77,",",""))+1)</f>
        <v>4</v>
      </c>
      <c r="F77" s="6"/>
    </row>
    <row r="78" customFormat="false" ht="15" hidden="false" customHeight="true" outlineLevel="0" collapsed="false">
      <c r="A78" s="5" t="n">
        <v>42246</v>
      </c>
      <c r="B78" s="6" t="s">
        <v>30</v>
      </c>
      <c r="C78" s="6" t="s">
        <v>21</v>
      </c>
      <c r="D78" s="6" t="s">
        <v>19</v>
      </c>
      <c r="E78" s="6" t="n">
        <f aca="false">IF($D78="",0,LEN($D78)-LEN(SUBSTITUTE($D78,",",""))+1)</f>
        <v>4</v>
      </c>
      <c r="F78" s="6"/>
    </row>
    <row r="79" customFormat="false" ht="15" hidden="false" customHeight="true" outlineLevel="0" collapsed="false">
      <c r="A79" s="5" t="n">
        <v>42246</v>
      </c>
      <c r="B79" s="6" t="s">
        <v>30</v>
      </c>
      <c r="C79" s="6" t="s">
        <v>21</v>
      </c>
      <c r="D79" s="6" t="s">
        <v>34</v>
      </c>
      <c r="E79" s="6" t="n">
        <f aca="false">IF($D79="",0,LEN($D79)-LEN(SUBSTITUTE($D79,",",""))+1)</f>
        <v>3</v>
      </c>
      <c r="F79" s="6"/>
    </row>
    <row r="80" customFormat="false" ht="15" hidden="false" customHeight="true" outlineLevel="0" collapsed="false">
      <c r="A80" s="5" t="n">
        <v>42246</v>
      </c>
      <c r="B80" s="6" t="s">
        <v>30</v>
      </c>
      <c r="C80" s="6" t="s">
        <v>22</v>
      </c>
      <c r="D80" s="6" t="s">
        <v>34</v>
      </c>
      <c r="E80" s="6" t="n">
        <f aca="false">IF($D80="",0,LEN($D80)-LEN(SUBSTITUTE($D80,",",""))+1)</f>
        <v>3</v>
      </c>
      <c r="F80" s="6"/>
    </row>
    <row r="81" customFormat="false" ht="15" hidden="false" customHeight="true" outlineLevel="0" collapsed="false">
      <c r="A81" s="5" t="n">
        <v>42246</v>
      </c>
      <c r="B81" s="6" t="s">
        <v>30</v>
      </c>
      <c r="C81" s="6" t="s">
        <v>21</v>
      </c>
      <c r="D81" s="6" t="s">
        <v>34</v>
      </c>
      <c r="E81" s="6" t="n">
        <f aca="false">IF($D81="",0,LEN($D81)-LEN(SUBSTITUTE($D81,",",""))+1)</f>
        <v>3</v>
      </c>
      <c r="F81" s="6"/>
    </row>
    <row r="82" customFormat="false" ht="15" hidden="false" customHeight="true" outlineLevel="0" collapsed="false">
      <c r="A82" s="5" t="n">
        <v>42246</v>
      </c>
      <c r="B82" s="6" t="s">
        <v>54</v>
      </c>
      <c r="C82" s="6" t="s">
        <v>22</v>
      </c>
      <c r="D82" s="6" t="s">
        <v>34</v>
      </c>
      <c r="E82" s="6" t="n">
        <f aca="false">IF($D82="",0,LEN($D82)-LEN(SUBSTITUTE($D82,",",""))+1)</f>
        <v>3</v>
      </c>
      <c r="F82" s="6"/>
    </row>
    <row r="83" customFormat="false" ht="15" hidden="false" customHeight="true" outlineLevel="0" collapsed="false">
      <c r="A83" s="5" t="n">
        <v>42248</v>
      </c>
      <c r="B83" s="6" t="s">
        <v>65</v>
      </c>
      <c r="C83" s="6" t="s">
        <v>21</v>
      </c>
      <c r="D83" s="6" t="s">
        <v>34</v>
      </c>
      <c r="E83" s="6" t="n">
        <f aca="false">IF($D83="",0,LEN($D83)-LEN(SUBSTITUTE($D83,",",""))+1)</f>
        <v>3</v>
      </c>
      <c r="F83" s="6"/>
    </row>
    <row r="84" customFormat="false" ht="15" hidden="false" customHeight="true" outlineLevel="0" collapsed="false">
      <c r="A84" s="5" t="n">
        <v>42248</v>
      </c>
      <c r="B84" s="6" t="s">
        <v>65</v>
      </c>
      <c r="C84" s="6" t="s">
        <v>21</v>
      </c>
      <c r="D84" s="6" t="s">
        <v>34</v>
      </c>
      <c r="E84" s="6" t="n">
        <f aca="false">IF($D84="",0,LEN($D84)-LEN(SUBSTITUTE($D84,",",""))+1)</f>
        <v>3</v>
      </c>
      <c r="F84" s="6"/>
    </row>
    <row r="85" customFormat="false" ht="15" hidden="false" customHeight="true" outlineLevel="0" collapsed="false">
      <c r="A85" s="5" t="n">
        <v>42248</v>
      </c>
      <c r="B85" s="6" t="s">
        <v>65</v>
      </c>
      <c r="C85" s="6" t="s">
        <v>33</v>
      </c>
      <c r="D85" s="6" t="s">
        <v>34</v>
      </c>
      <c r="E85" s="6" t="n">
        <f aca="false">IF($D85="",0,LEN($D85)-LEN(SUBSTITUTE($D85,",",""))+1)</f>
        <v>3</v>
      </c>
      <c r="F85" s="6"/>
    </row>
    <row r="86" customFormat="false" ht="15" hidden="false" customHeight="true" outlineLevel="0" collapsed="false">
      <c r="A86" s="5" t="n">
        <v>42248</v>
      </c>
      <c r="B86" s="6" t="s">
        <v>65</v>
      </c>
      <c r="C86" s="6" t="s">
        <v>21</v>
      </c>
      <c r="D86" s="6" t="s">
        <v>34</v>
      </c>
      <c r="E86" s="6" t="n">
        <f aca="false">IF($D86="",0,LEN($D86)-LEN(SUBSTITUTE($D86,",",""))+1)</f>
        <v>3</v>
      </c>
      <c r="F86" s="6"/>
    </row>
    <row r="87" customFormat="false" ht="15" hidden="false" customHeight="true" outlineLevel="0" collapsed="false">
      <c r="A87" s="5" t="n">
        <v>42248</v>
      </c>
      <c r="B87" s="6" t="s">
        <v>65</v>
      </c>
      <c r="C87" s="6" t="s">
        <v>21</v>
      </c>
      <c r="D87" s="6" t="s">
        <v>34</v>
      </c>
      <c r="E87" s="6" t="n">
        <f aca="false">IF($D87="",0,LEN($D87)-LEN(SUBSTITUTE($D87,",",""))+1)</f>
        <v>3</v>
      </c>
      <c r="F87" s="6"/>
    </row>
    <row r="88" customFormat="false" ht="15" hidden="false" customHeight="true" outlineLevel="0" collapsed="false">
      <c r="A88" s="5" t="n">
        <v>42248</v>
      </c>
      <c r="B88" s="6" t="s">
        <v>65</v>
      </c>
      <c r="C88" s="6" t="s">
        <v>22</v>
      </c>
      <c r="D88" s="6" t="s">
        <v>66</v>
      </c>
      <c r="E88" s="6" t="n">
        <f aca="false">IF($D88="",0,LEN($D88)-LEN(SUBSTITUTE($D88,",",""))+1)</f>
        <v>4</v>
      </c>
      <c r="F88" s="6"/>
    </row>
    <row r="89" customFormat="false" ht="15" hidden="false" customHeight="true" outlineLevel="0" collapsed="false">
      <c r="A89" s="5" t="n">
        <v>42252</v>
      </c>
      <c r="B89" s="6" t="s">
        <v>30</v>
      </c>
      <c r="C89" s="6" t="s">
        <v>33</v>
      </c>
      <c r="D89" s="6" t="s">
        <v>26</v>
      </c>
      <c r="E89" s="6" t="n">
        <f aca="false">IF($D89="",0,LEN($D89)-LEN(SUBSTITUTE($D89,",",""))+1)</f>
        <v>6</v>
      </c>
      <c r="F89" s="6"/>
    </row>
    <row r="90" customFormat="false" ht="15" hidden="false" customHeight="true" outlineLevel="0" collapsed="false">
      <c r="A90" s="5" t="n">
        <v>42252</v>
      </c>
      <c r="B90" s="6" t="s">
        <v>30</v>
      </c>
      <c r="C90" s="6" t="s">
        <v>21</v>
      </c>
      <c r="D90" s="6" t="s">
        <v>26</v>
      </c>
      <c r="E90" s="6" t="n">
        <f aca="false">IF($D90="",0,LEN($D90)-LEN(SUBSTITUTE($D90,",",""))+1)</f>
        <v>6</v>
      </c>
      <c r="F90" s="6"/>
    </row>
    <row r="91" customFormat="false" ht="15" hidden="false" customHeight="true" outlineLevel="0" collapsed="false">
      <c r="A91" s="5" t="n">
        <v>42252</v>
      </c>
      <c r="B91" s="6" t="s">
        <v>30</v>
      </c>
      <c r="C91" s="6" t="s">
        <v>24</v>
      </c>
      <c r="D91" s="6" t="s">
        <v>26</v>
      </c>
      <c r="E91" s="6" t="n">
        <f aca="false">IF($D91="",0,LEN($D91)-LEN(SUBSTITUTE($D91,",",""))+1)</f>
        <v>6</v>
      </c>
      <c r="F91" s="6"/>
    </row>
    <row r="92" customFormat="false" ht="15" hidden="false" customHeight="true" outlineLevel="0" collapsed="false">
      <c r="A92" s="5" t="n">
        <v>42252</v>
      </c>
      <c r="B92" s="6" t="s">
        <v>30</v>
      </c>
      <c r="C92" s="6" t="s">
        <v>35</v>
      </c>
      <c r="D92" s="6" t="s">
        <v>32</v>
      </c>
      <c r="E92" s="6" t="n">
        <f aca="false">IF($D92="",0,LEN($D92)-LEN(SUBSTITUTE($D92,",",""))+1)</f>
        <v>4</v>
      </c>
      <c r="F92" s="6"/>
    </row>
    <row r="93" customFormat="false" ht="15" hidden="false" customHeight="true" outlineLevel="0" collapsed="false">
      <c r="A93" s="5" t="n">
        <v>42265</v>
      </c>
      <c r="B93" s="6" t="s">
        <v>65</v>
      </c>
      <c r="C93" s="6" t="s">
        <v>21</v>
      </c>
      <c r="D93" s="6" t="s">
        <v>67</v>
      </c>
      <c r="E93" s="6" t="n">
        <f aca="false">IF($D93="",0,LEN($D93)-LEN(SUBSTITUTE($D93,",",""))+1)</f>
        <v>4</v>
      </c>
      <c r="F93" s="6"/>
    </row>
    <row r="94" customFormat="false" ht="15" hidden="false" customHeight="true" outlineLevel="0" collapsed="false">
      <c r="A94" s="5" t="n">
        <v>42265</v>
      </c>
      <c r="B94" s="6" t="s">
        <v>65</v>
      </c>
      <c r="C94" s="6" t="s">
        <v>22</v>
      </c>
      <c r="D94" s="6" t="s">
        <v>67</v>
      </c>
      <c r="E94" s="6" t="n">
        <f aca="false">IF($D94="",0,LEN($D94)-LEN(SUBSTITUTE($D94,",",""))+1)</f>
        <v>4</v>
      </c>
      <c r="F94" s="6"/>
    </row>
    <row r="95" customFormat="false" ht="15" hidden="false" customHeight="true" outlineLevel="0" collapsed="false">
      <c r="A95" s="5" t="n">
        <v>42265</v>
      </c>
      <c r="B95" s="6" t="s">
        <v>23</v>
      </c>
      <c r="C95" s="6" t="s">
        <v>22</v>
      </c>
      <c r="D95" s="6" t="s">
        <v>67</v>
      </c>
      <c r="E95" s="6" t="n">
        <f aca="false">IF($D95="",0,LEN($D95)-LEN(SUBSTITUTE($D95,",",""))+1)</f>
        <v>4</v>
      </c>
      <c r="F95" s="6"/>
    </row>
    <row r="96" customFormat="false" ht="15" hidden="false" customHeight="true" outlineLevel="0" collapsed="false">
      <c r="A96" s="5" t="n">
        <v>42265</v>
      </c>
      <c r="B96" s="6" t="s">
        <v>20</v>
      </c>
      <c r="C96" s="6" t="s">
        <v>33</v>
      </c>
      <c r="D96" s="6" t="s">
        <v>33</v>
      </c>
      <c r="E96" s="6" t="n">
        <f aca="false">IF($D96="",0,LEN($D96)-LEN(SUBSTITUTE($D96,",",""))+1)</f>
        <v>1</v>
      </c>
      <c r="F96" s="6"/>
    </row>
    <row r="97" customFormat="false" ht="15" hidden="false" customHeight="true" outlineLevel="0" collapsed="false">
      <c r="A97" s="5" t="n">
        <v>42272</v>
      </c>
      <c r="B97" s="6" t="s">
        <v>17</v>
      </c>
      <c r="C97" s="6" t="s">
        <v>68</v>
      </c>
      <c r="D97" s="6" t="s">
        <v>34</v>
      </c>
      <c r="E97" s="6" t="n">
        <f aca="false">IF($D97="",0,LEN($D97)-LEN(SUBSTITUTE($D97,",",""))+1)</f>
        <v>3</v>
      </c>
      <c r="F97" s="6"/>
    </row>
    <row r="98" customFormat="false" ht="15" hidden="false" customHeight="true" outlineLevel="0" collapsed="false">
      <c r="A98" s="5" t="n">
        <v>42272</v>
      </c>
      <c r="B98" s="6" t="s">
        <v>23</v>
      </c>
      <c r="C98" s="6" t="s">
        <v>21</v>
      </c>
      <c r="D98" s="6" t="s">
        <v>34</v>
      </c>
      <c r="E98" s="6" t="n">
        <f aca="false">IF($D98="",0,LEN($D98)-LEN(SUBSTITUTE($D98,",",""))+1)</f>
        <v>3</v>
      </c>
      <c r="F98" s="6"/>
    </row>
    <row r="99" customFormat="false" ht="15" hidden="false" customHeight="true" outlineLevel="0" collapsed="false">
      <c r="A99" s="5" t="n">
        <v>42272</v>
      </c>
      <c r="B99" s="6" t="s">
        <v>23</v>
      </c>
      <c r="C99" s="6" t="s">
        <v>33</v>
      </c>
      <c r="D99" s="6" t="s">
        <v>69</v>
      </c>
      <c r="E99" s="6" t="n">
        <f aca="false">IF($D99="",0,LEN($D99)-LEN(SUBSTITUTE($D99,",",""))+1)</f>
        <v>3</v>
      </c>
      <c r="F99" s="6"/>
    </row>
    <row r="100" customFormat="false" ht="15" hidden="false" customHeight="true" outlineLevel="0" collapsed="false">
      <c r="A100" s="5" t="n">
        <v>42273</v>
      </c>
      <c r="B100" s="6" t="s">
        <v>20</v>
      </c>
      <c r="C100" s="6" t="s">
        <v>24</v>
      </c>
      <c r="D100" s="6" t="s">
        <v>69</v>
      </c>
      <c r="E100" s="6" t="n">
        <f aca="false">IF($D100="",0,LEN($D100)-LEN(SUBSTITUTE($D100,",",""))+1)</f>
        <v>3</v>
      </c>
      <c r="F100" s="6"/>
    </row>
    <row r="101" customFormat="false" ht="15" hidden="false" customHeight="true" outlineLevel="0" collapsed="false">
      <c r="A101" s="5" t="n">
        <v>42273</v>
      </c>
      <c r="B101" s="6" t="s">
        <v>23</v>
      </c>
      <c r="C101" s="6" t="s">
        <v>33</v>
      </c>
      <c r="D101" s="6" t="s">
        <v>29</v>
      </c>
      <c r="E101" s="6" t="n">
        <f aca="false">IF($D101="",0,LEN($D101)-LEN(SUBSTITUTE($D101,",",""))+1)</f>
        <v>5</v>
      </c>
      <c r="F101" s="6"/>
    </row>
    <row r="102" customFormat="false" ht="15" hidden="false" customHeight="true" outlineLevel="0" collapsed="false">
      <c r="A102" s="5" t="n">
        <v>42273</v>
      </c>
      <c r="B102" s="6" t="s">
        <v>30</v>
      </c>
      <c r="C102" s="6" t="s">
        <v>21</v>
      </c>
      <c r="D102" s="6" t="s">
        <v>21</v>
      </c>
      <c r="E102" s="6" t="n">
        <f aca="false">IF($D102="",0,LEN($D102)-LEN(SUBSTITUTE($D102,",",""))+1)</f>
        <v>1</v>
      </c>
      <c r="F102" s="6"/>
    </row>
    <row r="103" customFormat="false" ht="15" hidden="false" customHeight="true" outlineLevel="0" collapsed="false">
      <c r="A103" s="5" t="n">
        <v>42273</v>
      </c>
      <c r="B103" s="6" t="s">
        <v>17</v>
      </c>
      <c r="C103" s="6" t="s">
        <v>39</v>
      </c>
      <c r="D103" s="6"/>
      <c r="E103" s="6" t="n">
        <f aca="false">IF($D103="",0,LEN($D103)-LEN(SUBSTITUTE($D103,",",""))+1)</f>
        <v>0</v>
      </c>
      <c r="F103" s="6"/>
    </row>
    <row r="104" customFormat="false" ht="15" hidden="false" customHeight="true" outlineLevel="0" collapsed="false">
      <c r="A104" s="5" t="n">
        <v>42273</v>
      </c>
      <c r="B104" s="6" t="s">
        <v>17</v>
      </c>
      <c r="C104" s="6" t="s">
        <v>39</v>
      </c>
      <c r="D104" s="6" t="s">
        <v>70</v>
      </c>
      <c r="E104" s="6" t="n">
        <f aca="false">IF($D104="",0,LEN($D104)-LEN(SUBSTITUTE($D104,",",""))+1)</f>
        <v>5</v>
      </c>
      <c r="F104" s="6"/>
    </row>
    <row r="105" customFormat="false" ht="15" hidden="false" customHeight="true" outlineLevel="0" collapsed="false">
      <c r="A105" s="5" t="n">
        <v>42280</v>
      </c>
      <c r="B105" s="6" t="s">
        <v>23</v>
      </c>
      <c r="C105" s="6" t="s">
        <v>33</v>
      </c>
      <c r="D105" s="6" t="s">
        <v>70</v>
      </c>
      <c r="E105" s="6" t="n">
        <f aca="false">IF($D105="",0,LEN($D105)-LEN(SUBSTITUTE($D105,",",""))+1)</f>
        <v>5</v>
      </c>
      <c r="F105" s="6"/>
    </row>
    <row r="106" customFormat="false" ht="15" hidden="false" customHeight="true" outlineLevel="0" collapsed="false">
      <c r="A106" s="5" t="n">
        <v>42280</v>
      </c>
      <c r="B106" s="6" t="s">
        <v>23</v>
      </c>
      <c r="C106" s="6" t="s">
        <v>24</v>
      </c>
      <c r="D106" s="6" t="s">
        <v>66</v>
      </c>
      <c r="E106" s="6" t="n">
        <f aca="false">IF($D106="",0,LEN($D106)-LEN(SUBSTITUTE($D106,",",""))+1)</f>
        <v>4</v>
      </c>
      <c r="F106" s="6"/>
    </row>
    <row r="107" customFormat="false" ht="15" hidden="false" customHeight="true" outlineLevel="0" collapsed="false">
      <c r="A107" s="5" t="n">
        <v>42280</v>
      </c>
      <c r="B107" s="6" t="s">
        <v>30</v>
      </c>
      <c r="C107" s="6" t="s">
        <v>24</v>
      </c>
      <c r="D107" s="6" t="s">
        <v>57</v>
      </c>
      <c r="E107" s="6" t="n">
        <f aca="false">IF($D107="",0,LEN($D107)-LEN(SUBSTITUTE($D107,",",""))+1)</f>
        <v>3</v>
      </c>
      <c r="F107" s="6"/>
    </row>
    <row r="108" customFormat="false" ht="15" hidden="false" customHeight="true" outlineLevel="0" collapsed="false">
      <c r="A108" s="5" t="n">
        <v>42289</v>
      </c>
      <c r="B108" s="6" t="s">
        <v>54</v>
      </c>
      <c r="C108" s="6" t="s">
        <v>21</v>
      </c>
      <c r="D108" s="6" t="s">
        <v>29</v>
      </c>
      <c r="E108" s="6" t="n">
        <f aca="false">IF($D108="",0,LEN($D108)-LEN(SUBSTITUTE($D108,",",""))+1)</f>
        <v>5</v>
      </c>
      <c r="F108" s="6" t="s">
        <v>71</v>
      </c>
    </row>
    <row r="109" customFormat="false" ht="15" hidden="false" customHeight="true" outlineLevel="0" collapsed="false">
      <c r="A109" s="5" t="n">
        <v>42295</v>
      </c>
      <c r="B109" s="6" t="s">
        <v>30</v>
      </c>
      <c r="C109" s="6" t="s">
        <v>21</v>
      </c>
      <c r="D109" s="6" t="s">
        <v>21</v>
      </c>
      <c r="E109" s="6" t="n">
        <f aca="false">IF($D109="",0,LEN($D109)-LEN(SUBSTITUTE($D109,",",""))+1)</f>
        <v>1</v>
      </c>
      <c r="F109" s="6"/>
    </row>
    <row r="110" customFormat="false" ht="15" hidden="false" customHeight="true" outlineLevel="0" collapsed="false">
      <c r="A110" s="5" t="n">
        <v>42295</v>
      </c>
      <c r="B110" s="6" t="s">
        <v>17</v>
      </c>
      <c r="C110" s="6" t="s">
        <v>72</v>
      </c>
      <c r="D110" s="6" t="s">
        <v>32</v>
      </c>
      <c r="E110" s="6" t="n">
        <f aca="false">IF($D110="",0,LEN($D110)-LEN(SUBSTITUTE($D110,",",""))+1)</f>
        <v>4</v>
      </c>
      <c r="F110" s="6"/>
    </row>
    <row r="111" customFormat="false" ht="15" hidden="false" customHeight="true" outlineLevel="0" collapsed="false">
      <c r="A111" s="5" t="n">
        <v>42295</v>
      </c>
      <c r="B111" s="6" t="s">
        <v>65</v>
      </c>
      <c r="C111" s="6" t="s">
        <v>22</v>
      </c>
      <c r="D111" s="6" t="s">
        <v>32</v>
      </c>
      <c r="E111" s="6" t="n">
        <f aca="false">IF($D111="",0,LEN($D111)-LEN(SUBSTITUTE($D111,",",""))+1)</f>
        <v>4</v>
      </c>
      <c r="F111" s="6"/>
    </row>
    <row r="112" customFormat="false" ht="15" hidden="false" customHeight="true" outlineLevel="0" collapsed="false">
      <c r="A112" s="5" t="n">
        <v>42302</v>
      </c>
      <c r="B112" s="6" t="s">
        <v>73</v>
      </c>
      <c r="C112" s="6" t="s">
        <v>22</v>
      </c>
      <c r="D112" s="6" t="s">
        <v>32</v>
      </c>
      <c r="E112" s="6" t="n">
        <f aca="false">IF($D112="",0,LEN($D112)-LEN(SUBSTITUTE($D112,",",""))+1)</f>
        <v>4</v>
      </c>
      <c r="F112" s="6"/>
    </row>
    <row r="113" customFormat="false" ht="15" hidden="false" customHeight="true" outlineLevel="0" collapsed="false">
      <c r="A113" s="5" t="n">
        <v>42302</v>
      </c>
      <c r="B113" s="6" t="s">
        <v>30</v>
      </c>
      <c r="C113" s="6" t="s">
        <v>35</v>
      </c>
      <c r="D113" s="6" t="s">
        <v>32</v>
      </c>
      <c r="E113" s="6" t="n">
        <f aca="false">IF($D113="",0,LEN($D113)-LEN(SUBSTITUTE($D113,",",""))+1)</f>
        <v>4</v>
      </c>
      <c r="F113" s="6"/>
    </row>
    <row r="114" customFormat="false" ht="15" hidden="false" customHeight="true" outlineLevel="0" collapsed="false">
      <c r="A114" s="5" t="n">
        <v>42302</v>
      </c>
      <c r="B114" s="6" t="s">
        <v>54</v>
      </c>
      <c r="C114" s="6" t="s">
        <v>21</v>
      </c>
      <c r="D114" s="6" t="s">
        <v>74</v>
      </c>
      <c r="E114" s="6" t="n">
        <f aca="false">IF($D114="",0,LEN($D114)-LEN(SUBSTITUTE($D114,",",""))+1)</f>
        <v>6</v>
      </c>
      <c r="F114" s="6"/>
    </row>
    <row r="115" customFormat="false" ht="15" hidden="false" customHeight="true" outlineLevel="0" collapsed="false">
      <c r="A115" s="5" t="n">
        <v>42311</v>
      </c>
      <c r="B115" s="6" t="s">
        <v>30</v>
      </c>
      <c r="C115" s="6" t="s">
        <v>33</v>
      </c>
      <c r="D115" s="6" t="s">
        <v>74</v>
      </c>
      <c r="E115" s="6" t="n">
        <f aca="false">IF($D115="",0,LEN($D115)-LEN(SUBSTITUTE($D115,",",""))+1)</f>
        <v>6</v>
      </c>
      <c r="F115" s="6" t="s">
        <v>75</v>
      </c>
    </row>
    <row r="116" customFormat="false" ht="15" hidden="false" customHeight="true" outlineLevel="0" collapsed="false">
      <c r="A116" s="5" t="n">
        <v>42311</v>
      </c>
      <c r="B116" s="6" t="s">
        <v>30</v>
      </c>
      <c r="C116" s="6" t="s">
        <v>21</v>
      </c>
      <c r="D116" s="6" t="s">
        <v>76</v>
      </c>
      <c r="E116" s="6" t="n">
        <f aca="false">IF($D116="",0,LEN($D116)-LEN(SUBSTITUTE($D116,",",""))+1)</f>
        <v>5</v>
      </c>
      <c r="F116" s="6" t="s">
        <v>77</v>
      </c>
    </row>
    <row r="117" customFormat="false" ht="15" hidden="false" customHeight="true" outlineLevel="0" collapsed="false">
      <c r="A117" s="5" t="n">
        <v>42311</v>
      </c>
      <c r="B117" s="6" t="s">
        <v>65</v>
      </c>
      <c r="C117" s="6" t="s">
        <v>21</v>
      </c>
      <c r="D117" s="6" t="s">
        <v>49</v>
      </c>
      <c r="E117" s="6" t="n">
        <f aca="false">IF($D117="",0,LEN($D117)-LEN(SUBSTITUTE($D117,",",""))+1)</f>
        <v>5</v>
      </c>
      <c r="F117" s="6" t="s">
        <v>78</v>
      </c>
    </row>
    <row r="118" customFormat="false" ht="15" hidden="false" customHeight="true" outlineLevel="0" collapsed="false">
      <c r="A118" s="5" t="n">
        <v>42312</v>
      </c>
      <c r="B118" s="6" t="s">
        <v>17</v>
      </c>
      <c r="C118" s="6" t="s">
        <v>39</v>
      </c>
      <c r="D118" s="6"/>
      <c r="E118" s="6" t="n">
        <f aca="false">IF($D118="",0,LEN($D118)-LEN(SUBSTITUTE($D118,",",""))+1)</f>
        <v>0</v>
      </c>
      <c r="F118" s="6"/>
    </row>
    <row r="119" customFormat="false" ht="15" hidden="false" customHeight="true" outlineLevel="0" collapsed="false">
      <c r="A119" s="5" t="n">
        <v>42312</v>
      </c>
      <c r="B119" s="6" t="s">
        <v>23</v>
      </c>
      <c r="C119" s="6" t="s">
        <v>33</v>
      </c>
      <c r="D119" s="6" t="s">
        <v>76</v>
      </c>
      <c r="E119" s="6" t="n">
        <f aca="false">IF($D119="",0,LEN($D119)-LEN(SUBSTITUTE($D119,",",""))+1)</f>
        <v>5</v>
      </c>
      <c r="F119" s="6"/>
    </row>
    <row r="120" customFormat="false" ht="15" hidden="false" customHeight="true" outlineLevel="0" collapsed="false">
      <c r="A120" s="5" t="n">
        <v>42312</v>
      </c>
      <c r="B120" s="6" t="s">
        <v>42</v>
      </c>
      <c r="C120" s="6" t="s">
        <v>22</v>
      </c>
      <c r="D120" s="6" t="s">
        <v>22</v>
      </c>
      <c r="E120" s="6" t="n">
        <f aca="false">IF($D120="",0,LEN($D120)-LEN(SUBSTITUTE($D120,",",""))+1)</f>
        <v>1</v>
      </c>
      <c r="F120" s="6"/>
    </row>
    <row r="121" customFormat="false" ht="15" hidden="false" customHeight="true" outlineLevel="0" collapsed="false">
      <c r="A121" s="5" t="n">
        <v>42319</v>
      </c>
      <c r="B121" s="6" t="s">
        <v>17</v>
      </c>
      <c r="C121" s="6" t="s">
        <v>39</v>
      </c>
      <c r="D121" s="6"/>
      <c r="E121" s="6" t="n">
        <f aca="false">IF($D121="",0,LEN($D121)-LEN(SUBSTITUTE($D121,",",""))+1)</f>
        <v>0</v>
      </c>
      <c r="F121" s="6"/>
    </row>
    <row r="122" customFormat="false" ht="15" hidden="false" customHeight="true" outlineLevel="0" collapsed="false">
      <c r="A122" s="5" t="n">
        <v>42319</v>
      </c>
      <c r="B122" s="6" t="s">
        <v>17</v>
      </c>
      <c r="C122" s="6" t="s">
        <v>79</v>
      </c>
      <c r="D122" s="6" t="s">
        <v>34</v>
      </c>
      <c r="E122" s="6" t="n">
        <f aca="false">IF($D122="",0,LEN($D122)-LEN(SUBSTITUTE($D122,",",""))+1)</f>
        <v>3</v>
      </c>
      <c r="F122" s="6"/>
    </row>
    <row r="123" customFormat="false" ht="15" hidden="false" customHeight="true" outlineLevel="0" collapsed="false">
      <c r="A123" s="5" t="n">
        <v>42319</v>
      </c>
      <c r="B123" s="6" t="s">
        <v>65</v>
      </c>
      <c r="C123" s="6" t="s">
        <v>21</v>
      </c>
      <c r="D123" s="6" t="s">
        <v>34</v>
      </c>
      <c r="E123" s="6" t="n">
        <f aca="false">IF($D123="",0,LEN($D123)-LEN(SUBSTITUTE($D123,",",""))+1)</f>
        <v>3</v>
      </c>
      <c r="F123" s="6"/>
    </row>
    <row r="124" customFormat="false" ht="15" hidden="false" customHeight="true" outlineLevel="0" collapsed="false">
      <c r="A124" s="5" t="n">
        <v>42319</v>
      </c>
      <c r="B124" s="6" t="s">
        <v>65</v>
      </c>
      <c r="C124" s="6" t="s">
        <v>22</v>
      </c>
      <c r="D124" s="6" t="s">
        <v>34</v>
      </c>
      <c r="E124" s="6" t="n">
        <f aca="false">IF($D124="",0,LEN($D124)-LEN(SUBSTITUTE($D124,",",""))+1)</f>
        <v>3</v>
      </c>
      <c r="F124" s="6"/>
    </row>
    <row r="125" customFormat="false" ht="15" hidden="false" customHeight="true" outlineLevel="0" collapsed="false">
      <c r="A125" s="5" t="n">
        <v>42319</v>
      </c>
      <c r="B125" s="6" t="s">
        <v>65</v>
      </c>
      <c r="C125" s="6" t="s">
        <v>21</v>
      </c>
      <c r="D125" s="6" t="s">
        <v>26</v>
      </c>
      <c r="E125" s="6" t="n">
        <f aca="false">IF($D125="",0,LEN($D125)-LEN(SUBSTITUTE($D125,",",""))+1)</f>
        <v>6</v>
      </c>
      <c r="F125" s="6"/>
    </row>
    <row r="126" customFormat="false" ht="15" hidden="false" customHeight="true" outlineLevel="0" collapsed="false">
      <c r="A126" s="5" t="n">
        <v>42320</v>
      </c>
      <c r="B126" s="6" t="s">
        <v>65</v>
      </c>
      <c r="C126" s="6" t="s">
        <v>21</v>
      </c>
      <c r="D126" s="6" t="s">
        <v>26</v>
      </c>
      <c r="E126" s="6" t="n">
        <f aca="false">IF($D126="",0,LEN($D126)-LEN(SUBSTITUTE($D126,",",""))+1)</f>
        <v>6</v>
      </c>
      <c r="F126" s="6"/>
    </row>
    <row r="127" customFormat="false" ht="15" hidden="false" customHeight="true" outlineLevel="0" collapsed="false">
      <c r="A127" s="5" t="n">
        <v>42320</v>
      </c>
      <c r="B127" s="6" t="s">
        <v>65</v>
      </c>
      <c r="C127" s="6" t="s">
        <v>52</v>
      </c>
      <c r="D127" s="6" t="s">
        <v>26</v>
      </c>
      <c r="E127" s="6" t="n">
        <f aca="false">IF($D127="",0,LEN($D127)-LEN(SUBSTITUTE($D127,",",""))+1)</f>
        <v>6</v>
      </c>
      <c r="F127" s="6"/>
    </row>
    <row r="128" customFormat="false" ht="15" hidden="false" customHeight="true" outlineLevel="0" collapsed="false">
      <c r="A128" s="5" t="n">
        <v>42320</v>
      </c>
      <c r="B128" s="6" t="s">
        <v>65</v>
      </c>
      <c r="C128" s="6" t="s">
        <v>22</v>
      </c>
      <c r="D128" s="6" t="s">
        <v>43</v>
      </c>
      <c r="E128" s="6" t="n">
        <f aca="false">IF($D128="",0,LEN($D128)-LEN(SUBSTITUTE($D128,",",""))+1)</f>
        <v>5</v>
      </c>
      <c r="F128" s="6"/>
    </row>
    <row r="129" customFormat="false" ht="15" hidden="false" customHeight="true" outlineLevel="0" collapsed="false">
      <c r="A129" s="5" t="n">
        <v>42320</v>
      </c>
      <c r="B129" s="6" t="s">
        <v>30</v>
      </c>
      <c r="C129" s="6" t="s">
        <v>33</v>
      </c>
      <c r="D129" s="6" t="s">
        <v>43</v>
      </c>
      <c r="E129" s="6" t="n">
        <f aca="false">IF($D129="",0,LEN($D129)-LEN(SUBSTITUTE($D129,",",""))+1)</f>
        <v>5</v>
      </c>
      <c r="F129" s="6"/>
    </row>
    <row r="130" customFormat="false" ht="15" hidden="false" customHeight="true" outlineLevel="0" collapsed="false">
      <c r="A130" s="5" t="n">
        <v>42320</v>
      </c>
      <c r="B130" s="6" t="s">
        <v>30</v>
      </c>
      <c r="C130" s="6" t="s">
        <v>21</v>
      </c>
      <c r="D130" s="6" t="s">
        <v>67</v>
      </c>
      <c r="E130" s="6" t="n">
        <f aca="false">IF($D130="",0,LEN($D130)-LEN(SUBSTITUTE($D130,",",""))+1)</f>
        <v>4</v>
      </c>
      <c r="F130" s="6"/>
    </row>
    <row r="131" customFormat="false" ht="15" hidden="false" customHeight="true" outlineLevel="0" collapsed="false">
      <c r="A131" s="5" t="n">
        <v>42321</v>
      </c>
      <c r="B131" s="6" t="s">
        <v>42</v>
      </c>
      <c r="C131" s="6" t="s">
        <v>35</v>
      </c>
      <c r="D131" s="6" t="s">
        <v>43</v>
      </c>
      <c r="E131" s="6" t="n">
        <f aca="false">IF($D131="",0,LEN($D131)-LEN(SUBSTITUTE($D131,",",""))+1)</f>
        <v>5</v>
      </c>
      <c r="F131" s="6"/>
    </row>
    <row r="132" customFormat="false" ht="15" hidden="false" customHeight="true" outlineLevel="0" collapsed="false">
      <c r="A132" s="5" t="n">
        <v>42321</v>
      </c>
      <c r="B132" s="6" t="s">
        <v>65</v>
      </c>
      <c r="C132" s="6" t="s">
        <v>22</v>
      </c>
      <c r="D132" s="6" t="s">
        <v>80</v>
      </c>
      <c r="E132" s="6" t="n">
        <f aca="false">IF($D132="",0,LEN($D132)-LEN(SUBSTITUTE($D132,",",""))+1)</f>
        <v>4</v>
      </c>
      <c r="F132" s="6"/>
    </row>
    <row r="133" customFormat="false" ht="15" hidden="false" customHeight="true" outlineLevel="0" collapsed="false">
      <c r="A133" s="5" t="n">
        <v>42326</v>
      </c>
      <c r="B133" s="6" t="s">
        <v>30</v>
      </c>
      <c r="C133" s="6" t="s">
        <v>35</v>
      </c>
      <c r="D133" s="6" t="s">
        <v>29</v>
      </c>
      <c r="E133" s="6" t="n">
        <f aca="false">IF($D133="",0,LEN($D133)-LEN(SUBSTITUTE($D133,",",""))+1)</f>
        <v>5</v>
      </c>
      <c r="F133" s="6"/>
    </row>
    <row r="134" customFormat="false" ht="15" hidden="false" customHeight="true" outlineLevel="0" collapsed="false">
      <c r="A134" s="5" t="n">
        <v>42326</v>
      </c>
      <c r="B134" s="6" t="s">
        <v>65</v>
      </c>
      <c r="C134" s="6" t="s">
        <v>22</v>
      </c>
      <c r="D134" s="6" t="s">
        <v>29</v>
      </c>
      <c r="E134" s="6" t="n">
        <f aca="false">IF($D134="",0,LEN($D134)-LEN(SUBSTITUTE($D134,",",""))+1)</f>
        <v>5</v>
      </c>
      <c r="F134" s="6"/>
    </row>
    <row r="135" customFormat="false" ht="15" hidden="false" customHeight="true" outlineLevel="0" collapsed="false">
      <c r="A135" s="5" t="n">
        <v>42326</v>
      </c>
      <c r="B135" s="6" t="s">
        <v>65</v>
      </c>
      <c r="C135" s="6" t="s">
        <v>24</v>
      </c>
      <c r="D135" s="6" t="s">
        <v>29</v>
      </c>
      <c r="E135" s="6" t="n">
        <f aca="false">IF($D135="",0,LEN($D135)-LEN(SUBSTITUTE($D135,",",""))+1)</f>
        <v>5</v>
      </c>
      <c r="F135" s="6"/>
    </row>
    <row r="136" customFormat="false" ht="15" hidden="false" customHeight="true" outlineLevel="0" collapsed="false">
      <c r="A136" s="5" t="n">
        <v>42326</v>
      </c>
      <c r="B136" s="6" t="s">
        <v>65</v>
      </c>
      <c r="C136" s="6" t="s">
        <v>33</v>
      </c>
      <c r="D136" s="6" t="s">
        <v>32</v>
      </c>
      <c r="E136" s="6" t="n">
        <f aca="false">IF($D136="",0,LEN($D136)-LEN(SUBSTITUTE($D136,",",""))+1)</f>
        <v>4</v>
      </c>
      <c r="F136" s="6"/>
    </row>
    <row r="137" customFormat="false" ht="15" hidden="false" customHeight="true" outlineLevel="0" collapsed="false">
      <c r="A137" s="5" t="n">
        <v>42326</v>
      </c>
      <c r="B137" s="6" t="s">
        <v>51</v>
      </c>
      <c r="C137" s="6" t="s">
        <v>21</v>
      </c>
      <c r="D137" s="6" t="s">
        <v>21</v>
      </c>
      <c r="E137" s="6" t="n">
        <f aca="false">IF($D137="",0,LEN($D137)-LEN(SUBSTITUTE($D137,",",""))+1)</f>
        <v>1</v>
      </c>
      <c r="F137" s="6"/>
    </row>
    <row r="138" customFormat="false" ht="15" hidden="false" customHeight="true" outlineLevel="0" collapsed="false">
      <c r="A138" s="5" t="n">
        <v>42330</v>
      </c>
      <c r="B138" s="6" t="s">
        <v>42</v>
      </c>
      <c r="C138" s="6" t="s">
        <v>35</v>
      </c>
      <c r="D138" s="6" t="s">
        <v>81</v>
      </c>
      <c r="E138" s="6" t="n">
        <f aca="false">IF($D138="",0,LEN($D138)-LEN(SUBSTITUTE($D138,",",""))+1)</f>
        <v>5</v>
      </c>
      <c r="F138" s="6" t="s">
        <v>82</v>
      </c>
    </row>
    <row r="139" customFormat="false" ht="15" hidden="false" customHeight="true" outlineLevel="0" collapsed="false">
      <c r="A139" s="5" t="n">
        <v>42330</v>
      </c>
      <c r="B139" s="6" t="s">
        <v>30</v>
      </c>
      <c r="C139" s="6" t="s">
        <v>22</v>
      </c>
      <c r="D139" s="6" t="s">
        <v>62</v>
      </c>
      <c r="E139" s="6" t="n">
        <f aca="false">IF($D139="",0,LEN($D139)-LEN(SUBSTITUTE($D139,",",""))+1)</f>
        <v>3</v>
      </c>
      <c r="F139" s="6"/>
    </row>
    <row r="140" customFormat="false" ht="15" hidden="false" customHeight="true" outlineLevel="0" collapsed="false">
      <c r="A140" s="5" t="n">
        <v>42330</v>
      </c>
      <c r="B140" s="6" t="s">
        <v>30</v>
      </c>
      <c r="C140" s="6" t="s">
        <v>33</v>
      </c>
      <c r="D140" s="6" t="s">
        <v>33</v>
      </c>
      <c r="E140" s="6" t="n">
        <f aca="false">IF($D140="",0,LEN($D140)-LEN(SUBSTITUTE($D140,",",""))+1)</f>
        <v>1</v>
      </c>
      <c r="F140" s="6"/>
    </row>
    <row r="141" customFormat="false" ht="15" hidden="false" customHeight="true" outlineLevel="0" collapsed="false">
      <c r="A141" s="5" t="n">
        <v>42337</v>
      </c>
      <c r="B141" s="6" t="s">
        <v>17</v>
      </c>
      <c r="C141" s="6" t="s">
        <v>39</v>
      </c>
      <c r="D141" s="6" t="s">
        <v>29</v>
      </c>
      <c r="E141" s="6" t="n">
        <f aca="false">IF($D141="",0,LEN($D141)-LEN(SUBSTITUTE($D141,",",""))+1)</f>
        <v>5</v>
      </c>
      <c r="F141" s="6"/>
    </row>
    <row r="142" customFormat="false" ht="15" hidden="false" customHeight="true" outlineLevel="0" collapsed="false">
      <c r="A142" s="5" t="n">
        <v>42337</v>
      </c>
      <c r="B142" s="6" t="s">
        <v>23</v>
      </c>
      <c r="C142" s="6" t="s">
        <v>21</v>
      </c>
      <c r="D142" s="6" t="s">
        <v>29</v>
      </c>
      <c r="E142" s="6" t="n">
        <f aca="false">IF($D142="",0,LEN($D142)-LEN(SUBSTITUTE($D142,",",""))+1)</f>
        <v>5</v>
      </c>
      <c r="F142" s="6" t="s">
        <v>83</v>
      </c>
    </row>
    <row r="143" customFormat="false" ht="15" hidden="false" customHeight="true" outlineLevel="0" collapsed="false">
      <c r="A143" s="5" t="n">
        <v>42337</v>
      </c>
      <c r="B143" s="6" t="s">
        <v>65</v>
      </c>
      <c r="C143" s="6" t="s">
        <v>22</v>
      </c>
      <c r="D143" s="6" t="s">
        <v>32</v>
      </c>
      <c r="E143" s="6" t="n">
        <f aca="false">IF($D143="",0,LEN($D143)-LEN(SUBSTITUTE($D143,",",""))+1)</f>
        <v>4</v>
      </c>
      <c r="F143" s="6"/>
    </row>
    <row r="144" customFormat="false" ht="15" hidden="false" customHeight="true" outlineLevel="0" collapsed="false">
      <c r="A144" s="5" t="n">
        <v>42337</v>
      </c>
      <c r="B144" s="6" t="s">
        <v>30</v>
      </c>
      <c r="C144" s="6" t="s">
        <v>33</v>
      </c>
      <c r="D144" s="6" t="s">
        <v>33</v>
      </c>
      <c r="E144" s="6" t="n">
        <f aca="false">IF($D144="",0,LEN($D144)-LEN(SUBSTITUTE($D144,",",""))+1)</f>
        <v>1</v>
      </c>
      <c r="F144" s="6"/>
    </row>
    <row r="145" customFormat="false" ht="15" hidden="false" customHeight="true" outlineLevel="0" collapsed="false">
      <c r="A145" s="5" t="n">
        <v>42342</v>
      </c>
      <c r="B145" s="6" t="s">
        <v>17</v>
      </c>
      <c r="C145" s="6" t="s">
        <v>84</v>
      </c>
      <c r="D145" s="6" t="s">
        <v>85</v>
      </c>
      <c r="E145" s="6" t="n">
        <f aca="false">IF($D145="",0,LEN($D145)-LEN(SUBSTITUTE($D145,",",""))+1)</f>
        <v>5</v>
      </c>
      <c r="F145" s="6" t="s">
        <v>86</v>
      </c>
    </row>
    <row r="146" customFormat="false" ht="15" hidden="false" customHeight="true" outlineLevel="0" collapsed="false">
      <c r="A146" s="5" t="n">
        <v>42343</v>
      </c>
      <c r="B146" s="6" t="s">
        <v>23</v>
      </c>
      <c r="C146" s="6" t="s">
        <v>33</v>
      </c>
      <c r="D146" s="6" t="s">
        <v>85</v>
      </c>
      <c r="E146" s="6" t="n">
        <f aca="false">IF($D146="",0,LEN($D146)-LEN(SUBSTITUTE($D146,",",""))+1)</f>
        <v>5</v>
      </c>
      <c r="F146" s="6"/>
    </row>
    <row r="147" customFormat="false" ht="15" hidden="false" customHeight="true" outlineLevel="0" collapsed="false">
      <c r="A147" s="5" t="n">
        <v>42343</v>
      </c>
      <c r="B147" s="6" t="s">
        <v>30</v>
      </c>
      <c r="C147" s="6" t="s">
        <v>35</v>
      </c>
      <c r="D147" s="6" t="s">
        <v>85</v>
      </c>
      <c r="E147" s="6" t="n">
        <f aca="false">IF($D147="",0,LEN($D147)-LEN(SUBSTITUTE($D147,",",""))+1)</f>
        <v>5</v>
      </c>
      <c r="F147" s="6"/>
    </row>
    <row r="148" customFormat="false" ht="15" hidden="false" customHeight="true" outlineLevel="0" collapsed="false">
      <c r="A148" s="5" t="n">
        <v>42343</v>
      </c>
      <c r="B148" s="6" t="s">
        <v>30</v>
      </c>
      <c r="C148" s="6" t="s">
        <v>33</v>
      </c>
      <c r="D148" s="6" t="s">
        <v>85</v>
      </c>
      <c r="E148" s="6" t="n">
        <f aca="false">IF($D148="",0,LEN($D148)-LEN(SUBSTITUTE($D148,",",""))+1)</f>
        <v>5</v>
      </c>
      <c r="F148" s="6"/>
    </row>
    <row r="149" customFormat="false" ht="15" hidden="false" customHeight="true" outlineLevel="0" collapsed="false">
      <c r="A149" s="5" t="n">
        <v>42343</v>
      </c>
      <c r="B149" s="6" t="s">
        <v>20</v>
      </c>
      <c r="C149" s="6" t="s">
        <v>33</v>
      </c>
      <c r="D149" s="6" t="s">
        <v>33</v>
      </c>
      <c r="E149" s="6" t="n">
        <f aca="false">IF($D149="",0,LEN($D149)-LEN(SUBSTITUTE($D149,",",""))+1)</f>
        <v>1</v>
      </c>
      <c r="F149" s="6"/>
    </row>
    <row r="150" customFormat="false" ht="15" hidden="false" customHeight="true" outlineLevel="0" collapsed="false">
      <c r="A150" s="5" t="n">
        <v>42344</v>
      </c>
      <c r="B150" s="6" t="s">
        <v>30</v>
      </c>
      <c r="C150" s="6" t="s">
        <v>84</v>
      </c>
      <c r="D150" s="6"/>
      <c r="E150" s="6" t="n">
        <f aca="false">IF($D150="",0,LEN($D150)-LEN(SUBSTITUTE($D150,",",""))+1)</f>
        <v>0</v>
      </c>
      <c r="F150" s="6" t="s">
        <v>87</v>
      </c>
    </row>
    <row r="151" customFormat="false" ht="15" hidden="false" customHeight="true" outlineLevel="0" collapsed="false">
      <c r="A151" s="5" t="n">
        <v>42344</v>
      </c>
      <c r="B151" s="6" t="s">
        <v>17</v>
      </c>
      <c r="C151" s="6" t="s">
        <v>84</v>
      </c>
      <c r="D151" s="6" t="s">
        <v>34</v>
      </c>
      <c r="E151" s="6" t="n">
        <f aca="false">IF($D151="",0,LEN($D151)-LEN(SUBSTITUTE($D151,",",""))+1)</f>
        <v>3</v>
      </c>
      <c r="F151" s="6"/>
    </row>
    <row r="152" customFormat="false" ht="15" hidden="false" customHeight="true" outlineLevel="0" collapsed="false">
      <c r="A152" s="5" t="n">
        <v>42344</v>
      </c>
      <c r="B152" s="6" t="s">
        <v>30</v>
      </c>
      <c r="C152" s="6" t="s">
        <v>33</v>
      </c>
      <c r="D152" s="6" t="s">
        <v>62</v>
      </c>
      <c r="E152" s="6" t="n">
        <f aca="false">IF($D152="",0,LEN($D152)-LEN(SUBSTITUTE($D152,",",""))+1)</f>
        <v>3</v>
      </c>
      <c r="F152" s="6"/>
    </row>
    <row r="153" customFormat="false" ht="15" hidden="false" customHeight="true" outlineLevel="0" collapsed="false">
      <c r="A153" s="5" t="n">
        <v>42352</v>
      </c>
      <c r="B153" s="6" t="s">
        <v>42</v>
      </c>
      <c r="C153" s="6" t="s">
        <v>33</v>
      </c>
      <c r="D153" s="6" t="s">
        <v>62</v>
      </c>
      <c r="E153" s="6" t="n">
        <f aca="false">IF($D153="",0,LEN($D153)-LEN(SUBSTITUTE($D153,",",""))+1)</f>
        <v>3</v>
      </c>
      <c r="F153" s="6"/>
    </row>
    <row r="154" customFormat="false" ht="15" hidden="false" customHeight="true" outlineLevel="0" collapsed="false">
      <c r="A154" s="5" t="n">
        <v>42352</v>
      </c>
      <c r="B154" s="6" t="s">
        <v>88</v>
      </c>
      <c r="C154" s="6" t="s">
        <v>22</v>
      </c>
      <c r="D154" s="6" t="s">
        <v>22</v>
      </c>
      <c r="E154" s="6" t="n">
        <f aca="false">IF($D154="",0,LEN($D154)-LEN(SUBSTITUTE($D154,",",""))+1)</f>
        <v>1</v>
      </c>
      <c r="F154" s="6"/>
    </row>
    <row r="155" customFormat="false" ht="15" hidden="false" customHeight="true" outlineLevel="0" collapsed="false">
      <c r="A155" s="5" t="n">
        <v>42358</v>
      </c>
      <c r="B155" s="6" t="s">
        <v>17</v>
      </c>
      <c r="C155" s="6" t="s">
        <v>84</v>
      </c>
      <c r="D155" s="6" t="s">
        <v>19</v>
      </c>
      <c r="E155" s="6" t="n">
        <f aca="false">IF($D155="",0,LEN($D155)-LEN(SUBSTITUTE($D155,",",""))+1)</f>
        <v>4</v>
      </c>
      <c r="F155" s="6"/>
    </row>
    <row r="156" customFormat="false" ht="15" hidden="false" customHeight="true" outlineLevel="0" collapsed="false">
      <c r="A156" s="5" t="n">
        <v>42358</v>
      </c>
      <c r="B156" s="6" t="s">
        <v>30</v>
      </c>
      <c r="C156" s="6" t="s">
        <v>21</v>
      </c>
      <c r="D156" s="6" t="s">
        <v>19</v>
      </c>
      <c r="E156" s="6" t="n">
        <f aca="false">IF($D156="",0,LEN($D156)-LEN(SUBSTITUTE($D156,",",""))+1)</f>
        <v>4</v>
      </c>
      <c r="F156" s="6"/>
    </row>
    <row r="157" customFormat="false" ht="15" hidden="false" customHeight="true" outlineLevel="0" collapsed="false">
      <c r="A157" s="5" t="n">
        <v>42358</v>
      </c>
      <c r="B157" s="6" t="s">
        <v>30</v>
      </c>
      <c r="C157" s="6" t="s">
        <v>33</v>
      </c>
      <c r="D157" s="6" t="s">
        <v>19</v>
      </c>
      <c r="E157" s="6" t="n">
        <f aca="false">IF($D157="",0,LEN($D157)-LEN(SUBSTITUTE($D157,",",""))+1)</f>
        <v>4</v>
      </c>
      <c r="F157" s="6"/>
    </row>
    <row r="158" customFormat="false" ht="15" hidden="false" customHeight="true" outlineLevel="0" collapsed="false">
      <c r="A158" s="5" t="n">
        <v>42358</v>
      </c>
      <c r="B158" s="6" t="s">
        <v>54</v>
      </c>
      <c r="C158" s="6" t="s">
        <v>33</v>
      </c>
      <c r="D158" s="6" t="s">
        <v>57</v>
      </c>
      <c r="E158" s="6" t="n">
        <f aca="false">IF($D158="",0,LEN($D158)-LEN(SUBSTITUTE($D158,",",""))+1)</f>
        <v>3</v>
      </c>
      <c r="F158" s="6"/>
    </row>
    <row r="159" customFormat="false" ht="15" hidden="false" customHeight="true" outlineLevel="0" collapsed="false">
      <c r="A159" s="5" t="n">
        <v>42360</v>
      </c>
      <c r="B159" s="6" t="s">
        <v>65</v>
      </c>
      <c r="C159" s="6" t="s">
        <v>24</v>
      </c>
      <c r="D159" s="6" t="s">
        <v>24</v>
      </c>
      <c r="E159" s="6" t="n">
        <f aca="false">IF($D159="",0,LEN($D159)-LEN(SUBSTITUTE($D159,",",""))+1)</f>
        <v>1</v>
      </c>
      <c r="F159" s="6"/>
    </row>
    <row r="160" customFormat="false" ht="15" hidden="false" customHeight="true" outlineLevel="0" collapsed="false">
      <c r="A160" s="5" t="n">
        <v>42360</v>
      </c>
      <c r="B160" s="6" t="s">
        <v>17</v>
      </c>
      <c r="C160" s="6" t="s">
        <v>84</v>
      </c>
      <c r="D160" s="6" t="s">
        <v>89</v>
      </c>
      <c r="E160" s="6" t="n">
        <f aca="false">IF($D160="",0,LEN($D160)-LEN(SUBSTITUTE($D160,",",""))+1)</f>
        <v>4</v>
      </c>
      <c r="F160" s="6"/>
    </row>
    <row r="161" customFormat="false" ht="15" hidden="false" customHeight="true" outlineLevel="0" collapsed="false">
      <c r="A161" s="5" t="n">
        <v>42360</v>
      </c>
      <c r="B161" s="6" t="s">
        <v>42</v>
      </c>
      <c r="C161" s="6" t="s">
        <v>35</v>
      </c>
      <c r="D161" s="6" t="s">
        <v>90</v>
      </c>
      <c r="E161" s="6" t="n">
        <f aca="false">IF($D161="",0,LEN($D161)-LEN(SUBSTITUTE($D161,",",""))+1)</f>
        <v>5</v>
      </c>
      <c r="F161" s="6"/>
    </row>
    <row r="162" customFormat="false" ht="15" hidden="false" customHeight="true" outlineLevel="0" collapsed="false">
      <c r="A162" s="5" t="n">
        <v>42366</v>
      </c>
      <c r="B162" s="6" t="s">
        <v>88</v>
      </c>
      <c r="C162" s="6" t="s">
        <v>35</v>
      </c>
      <c r="D162" s="6" t="s">
        <v>32</v>
      </c>
      <c r="E162" s="6" t="n">
        <f aca="false">IF($D162="",0,LEN($D162)-LEN(SUBSTITUTE($D162,",",""))+1)</f>
        <v>4</v>
      </c>
      <c r="F162" s="6"/>
    </row>
    <row r="163" customFormat="false" ht="15" hidden="false" customHeight="true" outlineLevel="0" collapsed="false">
      <c r="A163" s="5" t="n">
        <v>42366</v>
      </c>
      <c r="B163" s="6" t="s">
        <v>30</v>
      </c>
      <c r="C163" s="6" t="s">
        <v>21</v>
      </c>
      <c r="D163" s="6" t="s">
        <v>91</v>
      </c>
      <c r="E163" s="6" t="n">
        <f aca="false">IF($D163="",0,LEN($D163)-LEN(SUBSTITUTE($D163,",",""))+1)</f>
        <v>5</v>
      </c>
      <c r="F163" s="6"/>
    </row>
    <row r="164" customFormat="false" ht="15" hidden="false" customHeight="true" outlineLevel="0" collapsed="false">
      <c r="A164" s="5" t="n">
        <v>42371</v>
      </c>
      <c r="B164" s="6" t="s">
        <v>88</v>
      </c>
      <c r="C164" s="6" t="s">
        <v>21</v>
      </c>
      <c r="D164" s="6" t="s">
        <v>91</v>
      </c>
      <c r="E164" s="6" t="n">
        <f aca="false">IF($D164="",0,LEN($D164)-LEN(SUBSTITUTE($D164,",",""))+1)</f>
        <v>5</v>
      </c>
      <c r="F164" s="6"/>
    </row>
    <row r="165" customFormat="false" ht="15" hidden="false" customHeight="true" outlineLevel="0" collapsed="false">
      <c r="A165" s="5" t="n">
        <v>42371</v>
      </c>
      <c r="B165" s="6" t="s">
        <v>23</v>
      </c>
      <c r="C165" s="6" t="s">
        <v>92</v>
      </c>
      <c r="D165" s="6" t="s">
        <v>93</v>
      </c>
      <c r="E165" s="6" t="n">
        <f aca="false">IF($D165="",0,LEN($D165)-LEN(SUBSTITUTE($D165,",",""))+1)</f>
        <v>4</v>
      </c>
      <c r="F165" s="6"/>
    </row>
    <row r="166" customFormat="false" ht="15" hidden="false" customHeight="true" outlineLevel="0" collapsed="false">
      <c r="A166" s="5" t="n">
        <v>42371</v>
      </c>
      <c r="B166" s="6" t="s">
        <v>88</v>
      </c>
      <c r="C166" s="6" t="s">
        <v>21</v>
      </c>
      <c r="D166" s="6" t="s">
        <v>94</v>
      </c>
      <c r="E166" s="6" t="n">
        <f aca="false">IF($D166="",0,LEN($D166)-LEN(SUBSTITUTE($D166,",",""))+1)</f>
        <v>6</v>
      </c>
      <c r="F166" s="6"/>
    </row>
    <row r="167" customFormat="false" ht="15" hidden="false" customHeight="true" outlineLevel="0" collapsed="false">
      <c r="A167" s="5" t="n">
        <v>42372</v>
      </c>
      <c r="B167" s="6" t="s">
        <v>88</v>
      </c>
      <c r="C167" s="6" t="s">
        <v>35</v>
      </c>
      <c r="D167" s="6" t="s">
        <v>95</v>
      </c>
      <c r="E167" s="6" t="n">
        <f aca="false">IF($D167="",0,LEN($D167)-LEN(SUBSTITUTE($D167,",",""))+1)</f>
        <v>6</v>
      </c>
      <c r="F167" s="6"/>
    </row>
    <row r="168" customFormat="false" ht="15" hidden="false" customHeight="true" outlineLevel="0" collapsed="false">
      <c r="A168" s="5" t="n">
        <v>42372</v>
      </c>
      <c r="B168" s="6" t="s">
        <v>30</v>
      </c>
      <c r="C168" s="6" t="s">
        <v>33</v>
      </c>
      <c r="D168" s="6" t="s">
        <v>33</v>
      </c>
      <c r="E168" s="6" t="n">
        <f aca="false">IF($D168="",0,LEN($D168)-LEN(SUBSTITUTE($D168,",",""))+1)</f>
        <v>1</v>
      </c>
      <c r="F168" s="6"/>
    </row>
    <row r="169" customFormat="false" ht="15" hidden="false" customHeight="true" outlineLevel="0" collapsed="false">
      <c r="A169" s="5" t="n">
        <v>42372</v>
      </c>
      <c r="B169" s="6" t="s">
        <v>23</v>
      </c>
      <c r="C169" s="6" t="s">
        <v>35</v>
      </c>
      <c r="D169" s="6" t="s">
        <v>96</v>
      </c>
      <c r="E169" s="6" t="n">
        <f aca="false">IF($D169="",0,LEN($D169)-LEN(SUBSTITUTE($D169,",",""))+1)</f>
        <v>6</v>
      </c>
      <c r="F169" s="6"/>
    </row>
    <row r="170" customFormat="false" ht="15" hidden="false" customHeight="true" outlineLevel="0" collapsed="false">
      <c r="A170" s="5" t="n">
        <v>42378</v>
      </c>
      <c r="B170" s="6" t="s">
        <v>88</v>
      </c>
      <c r="C170" s="6" t="s">
        <v>35</v>
      </c>
      <c r="D170" s="6" t="s">
        <v>97</v>
      </c>
      <c r="E170" s="6" t="n">
        <f aca="false">IF($D170="",0,LEN($D170)-LEN(SUBSTITUTE($D170,",",""))+1)</f>
        <v>7</v>
      </c>
      <c r="F170" s="6" t="s">
        <v>98</v>
      </c>
    </row>
    <row r="171" customFormat="false" ht="15" hidden="false" customHeight="true" outlineLevel="0" collapsed="false">
      <c r="A171" s="5" t="n">
        <v>42378</v>
      </c>
      <c r="B171" s="6" t="s">
        <v>99</v>
      </c>
      <c r="C171" s="6" t="s">
        <v>24</v>
      </c>
      <c r="D171" s="6" t="s">
        <v>19</v>
      </c>
      <c r="E171" s="6" t="n">
        <f aca="false">IF($D171="",0,LEN($D171)-LEN(SUBSTITUTE($D171,",",""))+1)</f>
        <v>4</v>
      </c>
      <c r="F171" s="6"/>
    </row>
    <row r="172" customFormat="false" ht="15" hidden="false" customHeight="true" outlineLevel="0" collapsed="false">
      <c r="A172" s="5" t="n">
        <v>42384</v>
      </c>
      <c r="B172" s="6" t="s">
        <v>88</v>
      </c>
      <c r="C172" s="6" t="s">
        <v>22</v>
      </c>
      <c r="D172" s="6" t="s">
        <v>19</v>
      </c>
      <c r="E172" s="6" t="n">
        <f aca="false">IF($D172="",0,LEN($D172)-LEN(SUBSTITUTE($D172,",",""))+1)</f>
        <v>4</v>
      </c>
      <c r="F172" s="6"/>
    </row>
    <row r="173" customFormat="false" ht="15" hidden="false" customHeight="true" outlineLevel="0" collapsed="false">
      <c r="A173" s="5" t="n">
        <v>42384</v>
      </c>
      <c r="B173" s="6" t="s">
        <v>88</v>
      </c>
      <c r="C173" s="6" t="s">
        <v>21</v>
      </c>
      <c r="D173" s="6" t="s">
        <v>26</v>
      </c>
      <c r="E173" s="6" t="n">
        <f aca="false">IF($D173="",0,LEN($D173)-LEN(SUBSTITUTE($D173,",",""))+1)</f>
        <v>6</v>
      </c>
      <c r="F173" s="6"/>
    </row>
    <row r="174" customFormat="false" ht="15" hidden="false" customHeight="true" outlineLevel="0" collapsed="false">
      <c r="A174" s="5" t="n">
        <v>42391</v>
      </c>
      <c r="B174" s="6" t="s">
        <v>99</v>
      </c>
      <c r="C174" s="6" t="s">
        <v>24</v>
      </c>
      <c r="D174" s="6" t="s">
        <v>26</v>
      </c>
      <c r="E174" s="6" t="n">
        <f aca="false">IF($D174="",0,LEN($D174)-LEN(SUBSTITUTE($D174,",",""))+1)</f>
        <v>6</v>
      </c>
      <c r="F174" s="6"/>
    </row>
    <row r="175" customFormat="false" ht="15" hidden="false" customHeight="true" outlineLevel="0" collapsed="false">
      <c r="A175" s="5" t="n">
        <v>42391</v>
      </c>
      <c r="B175" s="6" t="s">
        <v>99</v>
      </c>
      <c r="C175" s="6" t="s">
        <v>22</v>
      </c>
      <c r="D175" s="6" t="s">
        <v>26</v>
      </c>
      <c r="E175" s="6" t="n">
        <f aca="false">IF($D175="",0,LEN($D175)-LEN(SUBSTITUTE($D175,",",""))+1)</f>
        <v>6</v>
      </c>
      <c r="F175" s="6"/>
    </row>
    <row r="176" customFormat="false" ht="15" hidden="false" customHeight="true" outlineLevel="0" collapsed="false">
      <c r="A176" s="5" t="n">
        <v>42391</v>
      </c>
      <c r="B176" s="6" t="s">
        <v>99</v>
      </c>
      <c r="C176" s="6" t="s">
        <v>22</v>
      </c>
      <c r="D176" s="6" t="s">
        <v>34</v>
      </c>
      <c r="E176" s="6" t="n">
        <f aca="false">IF($D176="",0,LEN($D176)-LEN(SUBSTITUTE($D176,",",""))+1)</f>
        <v>3</v>
      </c>
      <c r="F176" s="6"/>
    </row>
    <row r="177" customFormat="false" ht="15" hidden="false" customHeight="true" outlineLevel="0" collapsed="false">
      <c r="A177" s="5" t="n">
        <v>42396</v>
      </c>
      <c r="B177" s="6" t="s">
        <v>54</v>
      </c>
      <c r="C177" s="6" t="s">
        <v>21</v>
      </c>
      <c r="D177" s="6" t="s">
        <v>59</v>
      </c>
      <c r="E177" s="6" t="n">
        <f aca="false">IF($D177="",0,LEN($D177)-LEN(SUBSTITUTE($D177,",",""))+1)</f>
        <v>2</v>
      </c>
      <c r="F177" s="6" t="s">
        <v>100</v>
      </c>
    </row>
    <row r="178" customFormat="false" ht="15" hidden="false" customHeight="true" outlineLevel="0" collapsed="false">
      <c r="A178" s="5" t="n">
        <v>42396</v>
      </c>
      <c r="B178" s="6" t="s">
        <v>60</v>
      </c>
      <c r="C178" s="6" t="s">
        <v>33</v>
      </c>
      <c r="D178" s="6" t="s">
        <v>59</v>
      </c>
      <c r="E178" s="6" t="n">
        <f aca="false">IF($D178="",0,LEN($D178)-LEN(SUBSTITUTE($D178,",",""))+1)</f>
        <v>2</v>
      </c>
      <c r="F178" s="6"/>
    </row>
    <row r="179" customFormat="false" ht="15" hidden="false" customHeight="true" outlineLevel="0" collapsed="false">
      <c r="A179" s="5" t="n">
        <v>42396</v>
      </c>
      <c r="B179" s="6" t="s">
        <v>60</v>
      </c>
      <c r="C179" s="6" t="s">
        <v>33</v>
      </c>
      <c r="D179" s="6" t="s">
        <v>59</v>
      </c>
      <c r="E179" s="6" t="n">
        <f aca="false">IF($D179="",0,LEN($D179)-LEN(SUBSTITUTE($D179,",",""))+1)</f>
        <v>2</v>
      </c>
      <c r="F179" s="6"/>
    </row>
    <row r="180" customFormat="false" ht="15" hidden="false" customHeight="true" outlineLevel="0" collapsed="false">
      <c r="A180" s="5" t="n">
        <v>42396</v>
      </c>
      <c r="B180" s="6" t="s">
        <v>60</v>
      </c>
      <c r="C180" s="6" t="s">
        <v>21</v>
      </c>
      <c r="D180" s="6" t="s">
        <v>59</v>
      </c>
      <c r="E180" s="6" t="n">
        <f aca="false">IF($D180="",0,LEN($D180)-LEN(SUBSTITUTE($D180,",",""))+1)</f>
        <v>2</v>
      </c>
      <c r="F180" s="6"/>
    </row>
    <row r="181" customFormat="false" ht="15" hidden="false" customHeight="true" outlineLevel="0" collapsed="false">
      <c r="A181" s="5" t="n">
        <v>42396</v>
      </c>
      <c r="B181" s="6" t="s">
        <v>60</v>
      </c>
      <c r="C181" s="6" t="s">
        <v>21</v>
      </c>
      <c r="D181" s="6" t="s">
        <v>59</v>
      </c>
      <c r="E181" s="6" t="n">
        <f aca="false">IF($D181="",0,LEN($D181)-LEN(SUBSTITUTE($D181,",",""))+1)</f>
        <v>2</v>
      </c>
      <c r="F181" s="6"/>
    </row>
    <row r="182" customFormat="false" ht="15" hidden="false" customHeight="true" outlineLevel="0" collapsed="false">
      <c r="A182" s="5" t="n">
        <v>42396</v>
      </c>
      <c r="B182" s="6" t="s">
        <v>60</v>
      </c>
      <c r="C182" s="6" t="s">
        <v>21</v>
      </c>
      <c r="D182" s="6" t="s">
        <v>49</v>
      </c>
      <c r="E182" s="6" t="n">
        <f aca="false">IF($D182="",0,LEN($D182)-LEN(SUBSTITUTE($D182,",",""))+1)</f>
        <v>5</v>
      </c>
      <c r="F182" s="6"/>
    </row>
    <row r="183" customFormat="false" ht="15" hidden="false" customHeight="true" outlineLevel="0" collapsed="false">
      <c r="A183" s="5" t="n">
        <v>42420</v>
      </c>
      <c r="B183" s="6" t="s">
        <v>88</v>
      </c>
      <c r="C183" s="6" t="s">
        <v>35</v>
      </c>
      <c r="D183" s="6" t="s">
        <v>101</v>
      </c>
      <c r="E183" s="6" t="n">
        <f aca="false">IF($D183="",0,LEN($D183)-LEN(SUBSTITUTE($D183,",",""))+1)</f>
        <v>5</v>
      </c>
      <c r="F183" s="6"/>
    </row>
    <row r="184" customFormat="false" ht="15" hidden="false" customHeight="true" outlineLevel="0" collapsed="false">
      <c r="A184" s="5" t="n">
        <v>42427</v>
      </c>
      <c r="B184" s="6" t="s">
        <v>54</v>
      </c>
      <c r="C184" s="6" t="s">
        <v>21</v>
      </c>
      <c r="D184" s="6" t="s">
        <v>102</v>
      </c>
      <c r="E184" s="6" t="n">
        <f aca="false">IF($D184="",0,LEN($D184)-LEN(SUBSTITUTE($D184,",",""))+1)</f>
        <v>7</v>
      </c>
      <c r="F184" s="6" t="s">
        <v>103</v>
      </c>
    </row>
    <row r="185" customFormat="false" ht="15" hidden="false" customHeight="true" outlineLevel="0" collapsed="false">
      <c r="A185" s="5" t="n">
        <v>42434</v>
      </c>
      <c r="B185" s="6" t="s">
        <v>27</v>
      </c>
      <c r="C185" s="6" t="s">
        <v>21</v>
      </c>
      <c r="D185" s="6" t="s">
        <v>59</v>
      </c>
      <c r="E185" s="6" t="n">
        <f aca="false">IF($D185="",0,LEN($D185)-LEN(SUBSTITUTE($D185,",",""))+1)</f>
        <v>2</v>
      </c>
      <c r="F185" s="6"/>
    </row>
    <row r="186" customFormat="false" ht="15" hidden="false" customHeight="true" outlineLevel="0" collapsed="false">
      <c r="A186" s="5" t="n">
        <v>42435</v>
      </c>
      <c r="B186" s="6" t="s">
        <v>54</v>
      </c>
      <c r="C186" s="6" t="s">
        <v>33</v>
      </c>
      <c r="D186" s="6" t="s">
        <v>59</v>
      </c>
      <c r="E186" s="6" t="n">
        <f aca="false">IF($D186="",0,LEN($D186)-LEN(SUBSTITUTE($D186,",",""))+1)</f>
        <v>2</v>
      </c>
      <c r="F186" s="6"/>
    </row>
    <row r="187" customFormat="false" ht="15" hidden="false" customHeight="true" outlineLevel="0" collapsed="false">
      <c r="A187" s="5" t="n">
        <v>42435</v>
      </c>
      <c r="B187" s="6" t="s">
        <v>60</v>
      </c>
      <c r="C187" s="6" t="s">
        <v>33</v>
      </c>
      <c r="D187" s="6" t="s">
        <v>59</v>
      </c>
      <c r="E187" s="6" t="n">
        <f aca="false">IF($D187="",0,LEN($D187)-LEN(SUBSTITUTE($D187,",",""))+1)</f>
        <v>2</v>
      </c>
      <c r="F187" s="6"/>
    </row>
    <row r="188" customFormat="false" ht="15" hidden="false" customHeight="true" outlineLevel="0" collapsed="false">
      <c r="A188" s="5" t="n">
        <v>42435</v>
      </c>
      <c r="B188" s="6" t="s">
        <v>60</v>
      </c>
      <c r="C188" s="6" t="s">
        <v>33</v>
      </c>
      <c r="D188" s="6" t="s">
        <v>59</v>
      </c>
      <c r="E188" s="6" t="n">
        <f aca="false">IF($D188="",0,LEN($D188)-LEN(SUBSTITUTE($D188,",",""))+1)</f>
        <v>2</v>
      </c>
      <c r="F188" s="6"/>
    </row>
    <row r="189" customFormat="false" ht="15" hidden="false" customHeight="true" outlineLevel="0" collapsed="false">
      <c r="A189" s="5" t="n">
        <v>42435</v>
      </c>
      <c r="B189" s="6" t="s">
        <v>60</v>
      </c>
      <c r="C189" s="6" t="s">
        <v>21</v>
      </c>
      <c r="D189" s="6" t="s">
        <v>59</v>
      </c>
      <c r="E189" s="6" t="n">
        <f aca="false">IF($D189="",0,LEN($D189)-LEN(SUBSTITUTE($D189,",",""))+1)</f>
        <v>2</v>
      </c>
      <c r="F189" s="6"/>
    </row>
    <row r="190" customFormat="false" ht="15" hidden="false" customHeight="true" outlineLevel="0" collapsed="false">
      <c r="A190" s="5" t="n">
        <v>42435</v>
      </c>
      <c r="B190" s="6" t="s">
        <v>60</v>
      </c>
      <c r="C190" s="6" t="s">
        <v>21</v>
      </c>
      <c r="D190" s="6" t="s">
        <v>19</v>
      </c>
      <c r="E190" s="6" t="n">
        <f aca="false">IF($D190="",0,LEN($D190)-LEN(SUBSTITUTE($D190,",",""))+1)</f>
        <v>4</v>
      </c>
      <c r="F190" s="6"/>
    </row>
    <row r="191" customFormat="false" ht="15" hidden="false" customHeight="true" outlineLevel="0" collapsed="false">
      <c r="A191" s="5" t="n">
        <v>42440</v>
      </c>
      <c r="B191" s="6" t="s">
        <v>104</v>
      </c>
      <c r="C191" s="6" t="s">
        <v>33</v>
      </c>
      <c r="D191" s="6" t="s">
        <v>33</v>
      </c>
      <c r="E191" s="6" t="n">
        <f aca="false">IF($D191="",0,LEN($D191)-LEN(SUBSTITUTE($D191,",",""))+1)</f>
        <v>1</v>
      </c>
      <c r="F191" s="6"/>
    </row>
    <row r="192" customFormat="false" ht="15" hidden="false" customHeight="true" outlineLevel="0" collapsed="false">
      <c r="A192" s="5" t="n">
        <v>42440</v>
      </c>
      <c r="B192" s="6" t="s">
        <v>17</v>
      </c>
      <c r="C192" s="6" t="s">
        <v>84</v>
      </c>
      <c r="D192" s="6"/>
      <c r="E192" s="6" t="n">
        <f aca="false">IF($D192="",0,LEN($D192)-LEN(SUBSTITUTE($D192,",",""))+1)</f>
        <v>0</v>
      </c>
      <c r="F192" s="6"/>
    </row>
    <row r="193" customFormat="false" ht="15" hidden="false" customHeight="true" outlineLevel="0" collapsed="false">
      <c r="A193" s="5" t="n">
        <v>42440</v>
      </c>
      <c r="B193" s="6" t="s">
        <v>17</v>
      </c>
      <c r="C193" s="6" t="s">
        <v>39</v>
      </c>
      <c r="D193" s="6"/>
      <c r="E193" s="6" t="n">
        <f aca="false">IF($D193="",0,LEN($D193)-LEN(SUBSTITUTE($D193,",",""))+1)</f>
        <v>0</v>
      </c>
      <c r="F193" s="6"/>
    </row>
    <row r="194" customFormat="false" ht="15" hidden="false" customHeight="true" outlineLevel="0" collapsed="false">
      <c r="A194" s="5" t="n">
        <v>42440</v>
      </c>
      <c r="B194" s="6" t="s">
        <v>17</v>
      </c>
      <c r="C194" s="6" t="s">
        <v>84</v>
      </c>
      <c r="D194" s="6" t="s">
        <v>105</v>
      </c>
      <c r="E194" s="6" t="n">
        <f aca="false">IF($D194="",0,LEN($D194)-LEN(SUBSTITUTE($D194,",",""))+1)</f>
        <v>4</v>
      </c>
      <c r="F194" s="6"/>
    </row>
    <row r="195" customFormat="false" ht="15" hidden="false" customHeight="true" outlineLevel="0" collapsed="false">
      <c r="A195" s="5" t="n">
        <v>42441</v>
      </c>
      <c r="B195" s="6" t="s">
        <v>88</v>
      </c>
      <c r="C195" s="6" t="s">
        <v>33</v>
      </c>
      <c r="D195" s="6" t="s">
        <v>106</v>
      </c>
      <c r="E195" s="6" t="n">
        <f aca="false">IF($D195="",0,LEN($D195)-LEN(SUBSTITUTE($D195,",",""))+1)</f>
        <v>5</v>
      </c>
      <c r="F195" s="6"/>
    </row>
    <row r="196" customFormat="false" ht="15" hidden="false" customHeight="true" outlineLevel="0" collapsed="false">
      <c r="A196" s="5" t="n">
        <v>42441</v>
      </c>
      <c r="B196" s="6" t="s">
        <v>88</v>
      </c>
      <c r="C196" s="6" t="s">
        <v>92</v>
      </c>
      <c r="D196" s="6" t="s">
        <v>90</v>
      </c>
      <c r="E196" s="6" t="n">
        <f aca="false">IF($D196="",0,LEN($D196)-LEN(SUBSTITUTE($D196,",",""))+1)</f>
        <v>5</v>
      </c>
      <c r="F196" s="6"/>
    </row>
    <row r="197" customFormat="false" ht="15" hidden="false" customHeight="true" outlineLevel="0" collapsed="false">
      <c r="A197" s="5" t="n">
        <v>42441</v>
      </c>
      <c r="B197" s="6" t="s">
        <v>88</v>
      </c>
      <c r="C197" s="6" t="s">
        <v>35</v>
      </c>
      <c r="D197" s="6" t="s">
        <v>32</v>
      </c>
      <c r="E197" s="6" t="n">
        <f aca="false">IF($D197="",0,LEN($D197)-LEN(SUBSTITUTE($D197,",",""))+1)</f>
        <v>4</v>
      </c>
      <c r="F197" s="6"/>
    </row>
    <row r="198" customFormat="false" ht="15" hidden="false" customHeight="true" outlineLevel="0" collapsed="false">
      <c r="A198" s="5" t="n">
        <v>42441</v>
      </c>
      <c r="B198" s="6" t="s">
        <v>104</v>
      </c>
      <c r="C198" s="6" t="s">
        <v>35</v>
      </c>
      <c r="D198" s="6" t="s">
        <v>32</v>
      </c>
      <c r="E198" s="6" t="n">
        <f aca="false">IF($D198="",0,LEN($D198)-LEN(SUBSTITUTE($D198,",",""))+1)</f>
        <v>4</v>
      </c>
      <c r="F198" s="6"/>
    </row>
    <row r="199" customFormat="false" ht="15" hidden="false" customHeight="true" outlineLevel="0" collapsed="false">
      <c r="A199" s="5" t="n">
        <v>42441</v>
      </c>
      <c r="B199" s="6" t="s">
        <v>104</v>
      </c>
      <c r="C199" s="6" t="s">
        <v>33</v>
      </c>
      <c r="D199" s="6" t="s">
        <v>45</v>
      </c>
      <c r="E199" s="6" t="n">
        <f aca="false">IF($D199="",0,LEN($D199)-LEN(SUBSTITUTE($D199,",",""))+1)</f>
        <v>5</v>
      </c>
      <c r="F199" s="6"/>
    </row>
    <row r="200" customFormat="false" ht="15" hidden="false" customHeight="true" outlineLevel="0" collapsed="false">
      <c r="A200" s="5" t="n">
        <v>42448</v>
      </c>
      <c r="B200" s="6" t="s">
        <v>88</v>
      </c>
      <c r="C200" s="6" t="s">
        <v>24</v>
      </c>
      <c r="D200" s="6" t="s">
        <v>45</v>
      </c>
      <c r="E200" s="6" t="n">
        <f aca="false">IF($D200="",0,LEN($D200)-LEN(SUBSTITUTE($D200,",",""))+1)</f>
        <v>5</v>
      </c>
      <c r="F200" s="6"/>
    </row>
    <row r="201" customFormat="false" ht="15" hidden="false" customHeight="true" outlineLevel="0" collapsed="false">
      <c r="A201" s="5" t="n">
        <v>42448</v>
      </c>
      <c r="B201" s="6" t="s">
        <v>54</v>
      </c>
      <c r="C201" s="6" t="s">
        <v>33</v>
      </c>
      <c r="D201" s="6" t="s">
        <v>59</v>
      </c>
      <c r="E201" s="6" t="n">
        <f aca="false">IF($D201="",0,LEN($D201)-LEN(SUBSTITUTE($D201,",",""))+1)</f>
        <v>2</v>
      </c>
      <c r="F201" s="6"/>
    </row>
    <row r="202" customFormat="false" ht="15" hidden="false" customHeight="true" outlineLevel="0" collapsed="false">
      <c r="A202" s="5" t="n">
        <v>42453</v>
      </c>
      <c r="B202" s="6" t="s">
        <v>54</v>
      </c>
      <c r="C202" s="6" t="s">
        <v>21</v>
      </c>
      <c r="D202" s="6" t="s">
        <v>21</v>
      </c>
      <c r="E202" s="6" t="n">
        <f aca="false">IF($D202="",0,LEN($D202)-LEN(SUBSTITUTE($D202,",",""))+1)</f>
        <v>1</v>
      </c>
      <c r="F202" s="6"/>
    </row>
    <row r="203" customFormat="false" ht="15" hidden="false" customHeight="true" outlineLevel="0" collapsed="false">
      <c r="A203" s="5" t="n">
        <v>42453</v>
      </c>
      <c r="B203" s="6" t="s">
        <v>17</v>
      </c>
      <c r="C203" s="6" t="s">
        <v>39</v>
      </c>
      <c r="D203" s="6" t="s">
        <v>34</v>
      </c>
      <c r="E203" s="6" t="n">
        <f aca="false">IF($D203="",0,LEN($D203)-LEN(SUBSTITUTE($D203,",",""))+1)</f>
        <v>3</v>
      </c>
      <c r="F203" s="6" t="s">
        <v>107</v>
      </c>
    </row>
    <row r="204" customFormat="false" ht="15" hidden="false" customHeight="true" outlineLevel="0" collapsed="false">
      <c r="A204" s="5" t="n">
        <v>42454</v>
      </c>
      <c r="B204" s="6" t="s">
        <v>88</v>
      </c>
      <c r="C204" s="6" t="s">
        <v>22</v>
      </c>
      <c r="D204" s="6" t="s">
        <v>19</v>
      </c>
      <c r="E204" s="6" t="n">
        <f aca="false">IF($D204="",0,LEN($D204)-LEN(SUBSTITUTE($D204,",",""))+1)</f>
        <v>4</v>
      </c>
      <c r="F204" s="6"/>
    </row>
    <row r="205" customFormat="false" ht="15" hidden="false" customHeight="true" outlineLevel="0" collapsed="false">
      <c r="A205" s="5" t="n">
        <v>42454</v>
      </c>
      <c r="B205" s="6" t="s">
        <v>88</v>
      </c>
      <c r="C205" s="6" t="s">
        <v>21</v>
      </c>
      <c r="D205" s="6" t="s">
        <v>21</v>
      </c>
      <c r="E205" s="6" t="n">
        <f aca="false">IF($D205="",0,LEN($D205)-LEN(SUBSTITUTE($D205,",",""))+1)</f>
        <v>1</v>
      </c>
      <c r="F205" s="6"/>
    </row>
    <row r="206" customFormat="false" ht="15" hidden="false" customHeight="true" outlineLevel="0" collapsed="false">
      <c r="A206" s="5" t="n">
        <v>42454</v>
      </c>
      <c r="B206" s="6" t="s">
        <v>17</v>
      </c>
      <c r="C206" s="6" t="s">
        <v>84</v>
      </c>
      <c r="D206" s="6"/>
      <c r="E206" s="6" t="n">
        <f aca="false">IF($D206="",0,LEN($D206)-LEN(SUBSTITUTE($D206,",",""))+1)</f>
        <v>0</v>
      </c>
      <c r="F206" s="6" t="s">
        <v>107</v>
      </c>
    </row>
    <row r="207" customFormat="false" ht="15" hidden="false" customHeight="true" outlineLevel="0" collapsed="false">
      <c r="A207" s="5" t="n">
        <v>42460</v>
      </c>
      <c r="B207" s="6" t="s">
        <v>17</v>
      </c>
      <c r="C207" s="6" t="s">
        <v>39</v>
      </c>
      <c r="D207" s="6" t="s">
        <v>34</v>
      </c>
      <c r="E207" s="6" t="n">
        <f aca="false">IF($D207="",0,LEN($D207)-LEN(SUBSTITUTE($D207,",",""))+1)</f>
        <v>3</v>
      </c>
      <c r="F207" s="6" t="s">
        <v>107</v>
      </c>
    </row>
    <row r="208" customFormat="false" ht="15" hidden="false" customHeight="true" outlineLevel="0" collapsed="false">
      <c r="A208" s="5" t="n">
        <v>42460</v>
      </c>
      <c r="B208" s="6" t="s">
        <v>54</v>
      </c>
      <c r="C208" s="6" t="s">
        <v>33</v>
      </c>
      <c r="D208" s="6" t="s">
        <v>59</v>
      </c>
      <c r="E208" s="6" t="n">
        <f aca="false">IF($D208="",0,LEN($D208)-LEN(SUBSTITUTE($D208,",",""))+1)</f>
        <v>2</v>
      </c>
      <c r="F208" s="6"/>
    </row>
    <row r="209" customFormat="false" ht="15" hidden="false" customHeight="true" outlineLevel="0" collapsed="false">
      <c r="A209" s="5" t="n">
        <v>42461</v>
      </c>
      <c r="B209" s="6" t="s">
        <v>54</v>
      </c>
      <c r="C209" s="6" t="s">
        <v>21</v>
      </c>
      <c r="D209" s="6" t="s">
        <v>21</v>
      </c>
      <c r="E209" s="6" t="n">
        <f aca="false">IF($D209="",0,LEN($D209)-LEN(SUBSTITUTE($D209,",",""))+1)</f>
        <v>1</v>
      </c>
      <c r="F209" s="6"/>
    </row>
    <row r="210" customFormat="false" ht="15" hidden="false" customHeight="true" outlineLevel="0" collapsed="false">
      <c r="A210" s="5" t="n">
        <v>42461</v>
      </c>
      <c r="B210" s="6" t="s">
        <v>17</v>
      </c>
      <c r="C210" s="6" t="s">
        <v>39</v>
      </c>
      <c r="D210" s="6" t="s">
        <v>108</v>
      </c>
      <c r="E210" s="6" t="n">
        <f aca="false">IF($D210="",0,LEN($D210)-LEN(SUBSTITUTE($D210,",",""))+1)</f>
        <v>5</v>
      </c>
      <c r="F210" s="6" t="s">
        <v>107</v>
      </c>
    </row>
    <row r="211" customFormat="false" ht="15" hidden="false" customHeight="true" outlineLevel="0" collapsed="false">
      <c r="A211" s="5" t="n">
        <v>42468</v>
      </c>
      <c r="B211" s="6" t="s">
        <v>23</v>
      </c>
      <c r="C211" s="6" t="s">
        <v>21</v>
      </c>
      <c r="D211" s="6" t="s">
        <v>109</v>
      </c>
      <c r="E211" s="6" t="n">
        <f aca="false">IF($D211="",0,LEN($D211)-LEN(SUBSTITUTE($D211,",",""))+1)</f>
        <v>7</v>
      </c>
      <c r="F211" s="6"/>
    </row>
    <row r="212" customFormat="false" ht="15" hidden="false" customHeight="true" outlineLevel="0" collapsed="false">
      <c r="A212" s="5" t="n">
        <v>42469</v>
      </c>
      <c r="B212" s="6" t="s">
        <v>30</v>
      </c>
      <c r="C212" s="6" t="s">
        <v>110</v>
      </c>
      <c r="D212" s="6" t="s">
        <v>111</v>
      </c>
      <c r="E212" s="6" t="n">
        <f aca="false">IF($D212="",0,LEN($D212)-LEN(SUBSTITUTE($D212,",",""))+1)</f>
        <v>6</v>
      </c>
      <c r="F212" s="6"/>
    </row>
    <row r="213" customFormat="false" ht="15" hidden="false" customHeight="true" outlineLevel="0" collapsed="false">
      <c r="A213" s="5" t="n">
        <v>42469</v>
      </c>
      <c r="B213" s="6" t="s">
        <v>23</v>
      </c>
      <c r="C213" s="6" t="s">
        <v>33</v>
      </c>
      <c r="D213" s="6" t="s">
        <v>111</v>
      </c>
      <c r="E213" s="6" t="n">
        <f aca="false">IF($D213="",0,LEN($D213)-LEN(SUBSTITUTE($D213,",",""))+1)</f>
        <v>6</v>
      </c>
      <c r="F213" s="6"/>
    </row>
    <row r="214" customFormat="false" ht="15" hidden="false" customHeight="true" outlineLevel="0" collapsed="false">
      <c r="A214" s="5" t="n">
        <v>42469</v>
      </c>
      <c r="B214" s="6" t="s">
        <v>88</v>
      </c>
      <c r="C214" s="6" t="s">
        <v>22</v>
      </c>
      <c r="D214" s="6" t="s">
        <v>76</v>
      </c>
      <c r="E214" s="6" t="n">
        <f aca="false">IF($D214="",0,LEN($D214)-LEN(SUBSTITUTE($D214,",",""))+1)</f>
        <v>5</v>
      </c>
      <c r="F214" s="6"/>
    </row>
    <row r="215" customFormat="false" ht="15" hidden="false" customHeight="true" outlineLevel="0" collapsed="false">
      <c r="A215" s="5" t="n">
        <v>42469</v>
      </c>
      <c r="B215" s="6" t="s">
        <v>104</v>
      </c>
      <c r="C215" s="6" t="s">
        <v>33</v>
      </c>
      <c r="D215" s="6" t="s">
        <v>59</v>
      </c>
      <c r="E215" s="6" t="n">
        <f aca="false">IF($D215="",0,LEN($D215)-LEN(SUBSTITUTE($D215,",",""))+1)</f>
        <v>2</v>
      </c>
      <c r="F215" s="6"/>
    </row>
    <row r="216" customFormat="false" ht="15" hidden="false" customHeight="true" outlineLevel="0" collapsed="false">
      <c r="A216" s="5" t="n">
        <v>42474</v>
      </c>
      <c r="B216" s="6" t="s">
        <v>54</v>
      </c>
      <c r="C216" s="6" t="s">
        <v>33</v>
      </c>
      <c r="D216" s="6" t="s">
        <v>33</v>
      </c>
      <c r="E216" s="6" t="n">
        <f aca="false">IF($D216="",0,LEN($D216)-LEN(SUBSTITUTE($D216,",",""))+1)</f>
        <v>1</v>
      </c>
      <c r="F216" s="6" t="s">
        <v>112</v>
      </c>
    </row>
    <row r="217" customFormat="false" ht="15" hidden="false" customHeight="true" outlineLevel="0" collapsed="false">
      <c r="A217" s="5" t="n">
        <v>42474</v>
      </c>
      <c r="B217" s="6" t="s">
        <v>17</v>
      </c>
      <c r="C217" s="6" t="s">
        <v>39</v>
      </c>
      <c r="D217" s="6" t="s">
        <v>90</v>
      </c>
      <c r="E217" s="6" t="n">
        <f aca="false">IF($D217="",0,LEN($D217)-LEN(SUBSTITUTE($D217,",",""))+1)</f>
        <v>5</v>
      </c>
      <c r="F217" s="6"/>
    </row>
    <row r="218" customFormat="false" ht="15" hidden="false" customHeight="true" outlineLevel="0" collapsed="false">
      <c r="A218" s="5" t="n">
        <v>42476</v>
      </c>
      <c r="B218" s="6" t="s">
        <v>88</v>
      </c>
      <c r="C218" s="6" t="s">
        <v>92</v>
      </c>
      <c r="D218" s="6" t="s">
        <v>90</v>
      </c>
      <c r="E218" s="6" t="n">
        <f aca="false">IF($D218="",0,LEN($D218)-LEN(SUBSTITUTE($D218,",",""))+1)</f>
        <v>5</v>
      </c>
      <c r="F218" s="6"/>
    </row>
    <row r="219" customFormat="false" ht="15" hidden="false" customHeight="true" outlineLevel="0" collapsed="false">
      <c r="A219" s="5" t="n">
        <v>42476</v>
      </c>
      <c r="B219" s="6" t="s">
        <v>42</v>
      </c>
      <c r="C219" s="6" t="s">
        <v>33</v>
      </c>
      <c r="D219" s="6" t="s">
        <v>59</v>
      </c>
      <c r="E219" s="6" t="n">
        <f aca="false">IF($D219="",0,LEN($D219)-LEN(SUBSTITUTE($D219,",",""))+1)</f>
        <v>2</v>
      </c>
      <c r="F219" s="6"/>
    </row>
    <row r="220" customFormat="false" ht="15" hidden="false" customHeight="true" outlineLevel="0" collapsed="false">
      <c r="A220" s="5" t="n">
        <v>42481</v>
      </c>
      <c r="B220" s="6" t="s">
        <v>54</v>
      </c>
      <c r="C220" s="6" t="s">
        <v>33</v>
      </c>
      <c r="D220" s="6" t="s">
        <v>76</v>
      </c>
      <c r="E220" s="6" t="n">
        <f aca="false">IF($D220="",0,LEN($D220)-LEN(SUBSTITUTE($D220,",",""))+1)</f>
        <v>5</v>
      </c>
      <c r="F220" s="6" t="s">
        <v>113</v>
      </c>
    </row>
    <row r="221" customFormat="false" ht="15" hidden="false" customHeight="true" outlineLevel="0" collapsed="false">
      <c r="A221" s="5" t="n">
        <v>42482</v>
      </c>
      <c r="B221" s="6" t="s">
        <v>114</v>
      </c>
      <c r="C221" s="6" t="s">
        <v>22</v>
      </c>
      <c r="D221" s="6" t="s">
        <v>34</v>
      </c>
      <c r="E221" s="6" t="n">
        <f aca="false">IF($D221="",0,LEN($D221)-LEN(SUBSTITUTE($D221,",",""))+1)</f>
        <v>3</v>
      </c>
      <c r="F221" s="6" t="s">
        <v>115</v>
      </c>
    </row>
    <row r="222" customFormat="false" ht="15" hidden="false" customHeight="true" outlineLevel="0" collapsed="false">
      <c r="A222" s="5" t="n">
        <v>42483</v>
      </c>
      <c r="B222" s="6" t="s">
        <v>114</v>
      </c>
      <c r="C222" s="6" t="s">
        <v>33</v>
      </c>
      <c r="D222" s="6" t="s">
        <v>59</v>
      </c>
      <c r="E222" s="6" t="n">
        <f aca="false">IF($D222="",0,LEN($D222)-LEN(SUBSTITUTE($D222,",",""))+1)</f>
        <v>2</v>
      </c>
      <c r="F222" s="6" t="s">
        <v>115</v>
      </c>
    </row>
    <row r="223" customFormat="false" ht="15" hidden="false" customHeight="true" outlineLevel="0" collapsed="false">
      <c r="A223" s="5" t="n">
        <v>42483</v>
      </c>
      <c r="B223" s="6" t="s">
        <v>114</v>
      </c>
      <c r="C223" s="6" t="s">
        <v>21</v>
      </c>
      <c r="D223" s="6" t="s">
        <v>59</v>
      </c>
      <c r="E223" s="6" t="n">
        <f aca="false">IF($D223="",0,LEN($D223)-LEN(SUBSTITUTE($D223,",",""))+1)</f>
        <v>2</v>
      </c>
      <c r="F223" s="6" t="s">
        <v>115</v>
      </c>
    </row>
    <row r="224" customFormat="false" ht="15" hidden="false" customHeight="true" outlineLevel="0" collapsed="false">
      <c r="A224" s="5" t="n">
        <v>42483</v>
      </c>
      <c r="B224" s="6" t="s">
        <v>54</v>
      </c>
      <c r="C224" s="6" t="s">
        <v>33</v>
      </c>
      <c r="D224" s="6" t="s">
        <v>59</v>
      </c>
      <c r="E224" s="6" t="n">
        <f aca="false">IF($D224="",0,LEN($D224)-LEN(SUBSTITUTE($D224,",",""))+1)</f>
        <v>2</v>
      </c>
      <c r="F224" s="6"/>
    </row>
    <row r="225" customFormat="false" ht="15" hidden="false" customHeight="true" outlineLevel="0" collapsed="false">
      <c r="A225" s="5" t="n">
        <v>42487</v>
      </c>
      <c r="B225" s="6" t="s">
        <v>114</v>
      </c>
      <c r="C225" s="6" t="s">
        <v>33</v>
      </c>
      <c r="D225" s="6" t="s">
        <v>59</v>
      </c>
      <c r="E225" s="6" t="n">
        <f aca="false">IF($D225="",0,LEN($D225)-LEN(SUBSTITUTE($D225,",",""))+1)</f>
        <v>2</v>
      </c>
      <c r="F225" s="6" t="s">
        <v>116</v>
      </c>
    </row>
    <row r="226" customFormat="false" ht="15" hidden="false" customHeight="true" outlineLevel="0" collapsed="false">
      <c r="A226" s="5" t="n">
        <v>42487</v>
      </c>
      <c r="B226" s="6" t="s">
        <v>54</v>
      </c>
      <c r="C226" s="6" t="s">
        <v>33</v>
      </c>
      <c r="D226" s="6" t="s">
        <v>32</v>
      </c>
      <c r="E226" s="6" t="n">
        <f aca="false">IF($D226="",0,LEN($D226)-LEN(SUBSTITUTE($D226,",",""))+1)</f>
        <v>4</v>
      </c>
      <c r="F226" s="6"/>
    </row>
    <row r="227" customFormat="false" ht="15" hidden="false" customHeight="true" outlineLevel="0" collapsed="false">
      <c r="A227" s="5" t="n">
        <v>42489</v>
      </c>
      <c r="B227" s="6" t="s">
        <v>114</v>
      </c>
      <c r="C227" s="6" t="s">
        <v>22</v>
      </c>
      <c r="D227" s="6" t="s">
        <v>22</v>
      </c>
      <c r="E227" s="6" t="n">
        <f aca="false">IF($D227="",0,LEN($D227)-LEN(SUBSTITUTE($D227,",",""))+1)</f>
        <v>1</v>
      </c>
      <c r="F227" s="6" t="s">
        <v>117</v>
      </c>
    </row>
    <row r="228" customFormat="false" ht="15" hidden="false" customHeight="true" outlineLevel="0" collapsed="false">
      <c r="A228" s="5" t="n">
        <v>42489</v>
      </c>
      <c r="B228" s="6" t="s">
        <v>42</v>
      </c>
      <c r="C228" s="6"/>
      <c r="D228" s="6" t="s">
        <v>59</v>
      </c>
      <c r="E228" s="6" t="n">
        <f aca="false">IF($D228="",0,LEN($D228)-LEN(SUBSTITUTE($D228,",",""))+1)</f>
        <v>2</v>
      </c>
      <c r="F228" s="6" t="s">
        <v>118</v>
      </c>
    </row>
    <row r="229" customFormat="false" ht="15" hidden="false" customHeight="true" outlineLevel="0" collapsed="false">
      <c r="A229" s="5" t="n">
        <v>42489</v>
      </c>
      <c r="B229" s="6" t="s">
        <v>114</v>
      </c>
      <c r="C229" s="6" t="s">
        <v>21</v>
      </c>
      <c r="D229" s="6" t="s">
        <v>59</v>
      </c>
      <c r="E229" s="6" t="n">
        <f aca="false">IF($D229="",0,LEN($D229)-LEN(SUBSTITUTE($D229,",",""))+1)</f>
        <v>2</v>
      </c>
      <c r="F229" s="6" t="s">
        <v>117</v>
      </c>
    </row>
    <row r="230" customFormat="false" ht="15" hidden="false" customHeight="true" outlineLevel="0" collapsed="false">
      <c r="A230" s="5" t="n">
        <v>42489</v>
      </c>
      <c r="B230" s="6" t="s">
        <v>114</v>
      </c>
      <c r="C230" s="6" t="s">
        <v>21</v>
      </c>
      <c r="D230" s="6" t="s">
        <v>59</v>
      </c>
      <c r="E230" s="6" t="n">
        <f aca="false">IF($D230="",0,LEN($D230)-LEN(SUBSTITUTE($D230,",",""))+1)</f>
        <v>2</v>
      </c>
      <c r="F230" s="6" t="s">
        <v>117</v>
      </c>
    </row>
    <row r="231" customFormat="false" ht="15" hidden="false" customHeight="true" outlineLevel="0" collapsed="false">
      <c r="A231" s="5" t="n">
        <v>42489</v>
      </c>
      <c r="B231" s="6" t="s">
        <v>54</v>
      </c>
      <c r="C231" s="6" t="s">
        <v>33</v>
      </c>
      <c r="D231" s="6" t="s">
        <v>119</v>
      </c>
      <c r="E231" s="6" t="n">
        <f aca="false">IF($D231="",0,LEN($D231)-LEN(SUBSTITUTE($D231,",",""))+1)</f>
        <v>4</v>
      </c>
      <c r="F231" s="6"/>
    </row>
    <row r="232" customFormat="false" ht="15" hidden="false" customHeight="true" outlineLevel="0" collapsed="false">
      <c r="A232" s="5" t="n">
        <v>42497</v>
      </c>
      <c r="B232" s="6" t="s">
        <v>114</v>
      </c>
      <c r="C232" s="6" t="s">
        <v>92</v>
      </c>
      <c r="D232" s="6" t="s">
        <v>120</v>
      </c>
      <c r="E232" s="6" t="n">
        <f aca="false">IF($D232="",0,LEN($D232)-LEN(SUBSTITUTE($D232,",",""))+1)</f>
        <v>6</v>
      </c>
      <c r="F232" s="6" t="s">
        <v>117</v>
      </c>
    </row>
    <row r="233" customFormat="false" ht="15" hidden="false" customHeight="true" outlineLevel="0" collapsed="false">
      <c r="A233" s="5" t="n">
        <v>42497</v>
      </c>
      <c r="B233" s="6" t="s">
        <v>121</v>
      </c>
      <c r="C233" s="6" t="s">
        <v>21</v>
      </c>
      <c r="D233" s="6" t="s">
        <v>59</v>
      </c>
      <c r="E233" s="6" t="n">
        <f aca="false">IF($D233="",0,LEN($D233)-LEN(SUBSTITUTE($D233,",",""))+1)</f>
        <v>2</v>
      </c>
      <c r="F233" s="6" t="s">
        <v>122</v>
      </c>
    </row>
    <row r="234" customFormat="false" ht="15" hidden="false" customHeight="true" outlineLevel="0" collapsed="false">
      <c r="A234" s="5" t="n">
        <v>42501</v>
      </c>
      <c r="B234" s="6" t="s">
        <v>54</v>
      </c>
      <c r="C234" s="6" t="s">
        <v>33</v>
      </c>
      <c r="D234" s="6" t="s">
        <v>123</v>
      </c>
      <c r="E234" s="6" t="n">
        <f aca="false">IF($D234="",0,LEN($D234)-LEN(SUBSTITUTE($D234,",",""))+1)</f>
        <v>4</v>
      </c>
      <c r="F234" s="6"/>
    </row>
    <row r="235" customFormat="false" ht="15" hidden="false" customHeight="true" outlineLevel="0" collapsed="false">
      <c r="A235" s="5" t="n">
        <v>42504</v>
      </c>
      <c r="B235" s="6" t="s">
        <v>121</v>
      </c>
      <c r="C235" s="6" t="s">
        <v>22</v>
      </c>
      <c r="D235" s="6" t="s">
        <v>123</v>
      </c>
      <c r="E235" s="6" t="n">
        <f aca="false">IF($D235="",0,LEN($D235)-LEN(SUBSTITUTE($D235,",",""))+1)</f>
        <v>4</v>
      </c>
      <c r="F235" s="6" t="s">
        <v>124</v>
      </c>
    </row>
    <row r="236" customFormat="false" ht="15" hidden="false" customHeight="true" outlineLevel="0" collapsed="false">
      <c r="A236" s="5" t="n">
        <v>42504</v>
      </c>
      <c r="B236" s="6" t="s">
        <v>121</v>
      </c>
      <c r="C236" s="6" t="s">
        <v>22</v>
      </c>
      <c r="D236" s="6" t="s">
        <v>123</v>
      </c>
      <c r="E236" s="6" t="n">
        <f aca="false">IF($D236="",0,LEN($D236)-LEN(SUBSTITUTE($D236,",",""))+1)</f>
        <v>4</v>
      </c>
      <c r="F236" s="6" t="s">
        <v>124</v>
      </c>
    </row>
    <row r="237" customFormat="false" ht="15" hidden="false" customHeight="true" outlineLevel="0" collapsed="false">
      <c r="A237" s="5" t="n">
        <v>42504</v>
      </c>
      <c r="B237" s="6" t="s">
        <v>23</v>
      </c>
      <c r="C237" s="6" t="s">
        <v>33</v>
      </c>
      <c r="D237" s="6" t="s">
        <v>125</v>
      </c>
      <c r="E237" s="6" t="n">
        <f aca="false">IF($D237="",0,LEN($D237)-LEN(SUBSTITUTE($D237,",",""))+1)</f>
        <v>3</v>
      </c>
      <c r="F237" s="6"/>
    </row>
    <row r="238" customFormat="false" ht="15" hidden="false" customHeight="true" outlineLevel="0" collapsed="false">
      <c r="A238" s="5" t="n">
        <v>42512</v>
      </c>
      <c r="B238" s="6" t="s">
        <v>121</v>
      </c>
      <c r="C238" s="6" t="s">
        <v>33</v>
      </c>
      <c r="D238" s="6" t="s">
        <v>34</v>
      </c>
      <c r="E238" s="6" t="n">
        <f aca="false">IF($D238="",0,LEN($D238)-LEN(SUBSTITUTE($D238,",",""))+1)</f>
        <v>3</v>
      </c>
      <c r="F238" s="6" t="s">
        <v>126</v>
      </c>
    </row>
    <row r="239" customFormat="false" ht="15" hidden="false" customHeight="true" outlineLevel="0" collapsed="false">
      <c r="A239" s="5" t="n">
        <v>42512</v>
      </c>
      <c r="B239" s="6" t="s">
        <v>121</v>
      </c>
      <c r="C239" s="6" t="s">
        <v>21</v>
      </c>
      <c r="D239" s="6" t="s">
        <v>34</v>
      </c>
      <c r="E239" s="6" t="n">
        <f aca="false">IF($D239="",0,LEN($D239)-LEN(SUBSTITUTE($D239,",",""))+1)</f>
        <v>3</v>
      </c>
      <c r="F239" s="6" t="s">
        <v>126</v>
      </c>
    </row>
    <row r="240" customFormat="false" ht="15" hidden="false" customHeight="true" outlineLevel="0" collapsed="false">
      <c r="A240" s="5" t="n">
        <v>42512</v>
      </c>
      <c r="B240" s="6" t="s">
        <v>121</v>
      </c>
      <c r="C240" s="6" t="s">
        <v>21</v>
      </c>
      <c r="D240" s="6" t="s">
        <v>59</v>
      </c>
      <c r="E240" s="6" t="n">
        <f aca="false">IF($D240="",0,LEN($D240)-LEN(SUBSTITUTE($D240,",",""))+1)</f>
        <v>2</v>
      </c>
      <c r="F240" s="6" t="s">
        <v>126</v>
      </c>
    </row>
    <row r="241" customFormat="false" ht="15" hidden="false" customHeight="true" outlineLevel="0" collapsed="false">
      <c r="A241" s="5" t="n">
        <v>42513</v>
      </c>
      <c r="B241" s="6" t="s">
        <v>121</v>
      </c>
      <c r="C241" s="6" t="s">
        <v>21</v>
      </c>
      <c r="D241" s="6" t="s">
        <v>59</v>
      </c>
      <c r="E241" s="6" t="n">
        <f aca="false">IF($D241="",0,LEN($D241)-LEN(SUBSTITUTE($D241,",",""))+1)</f>
        <v>2</v>
      </c>
      <c r="F241" s="6" t="s">
        <v>126</v>
      </c>
    </row>
    <row r="242" customFormat="false" ht="15" hidden="false" customHeight="true" outlineLevel="0" collapsed="false">
      <c r="A242" s="5" t="n">
        <v>42513</v>
      </c>
      <c r="B242" s="6" t="s">
        <v>121</v>
      </c>
      <c r="C242" s="6" t="s">
        <v>21</v>
      </c>
      <c r="D242" s="6" t="s">
        <v>59</v>
      </c>
      <c r="E242" s="6" t="n">
        <f aca="false">IF($D242="",0,LEN($D242)-LEN(SUBSTITUTE($D242,",",""))+1)</f>
        <v>2</v>
      </c>
      <c r="F242" s="6" t="s">
        <v>126</v>
      </c>
    </row>
    <row r="243" customFormat="false" ht="15" hidden="false" customHeight="true" outlineLevel="0" collapsed="false">
      <c r="A243" s="5" t="n">
        <v>42513</v>
      </c>
      <c r="B243" s="6" t="s">
        <v>54</v>
      </c>
      <c r="C243" s="6" t="s">
        <v>33</v>
      </c>
      <c r="D243" s="6" t="s">
        <v>76</v>
      </c>
      <c r="E243" s="6" t="n">
        <f aca="false">IF($D243="",0,LEN($D243)-LEN(SUBSTITUTE($D243,",",""))+1)</f>
        <v>5</v>
      </c>
      <c r="F243" s="6"/>
    </row>
    <row r="244" customFormat="false" ht="15" hidden="false" customHeight="true" outlineLevel="0" collapsed="false">
      <c r="A244" s="5" t="n">
        <v>42518</v>
      </c>
      <c r="B244" s="6" t="s">
        <v>27</v>
      </c>
      <c r="C244" s="6" t="s">
        <v>127</v>
      </c>
      <c r="D244" s="6" t="s">
        <v>123</v>
      </c>
      <c r="E244" s="6" t="n">
        <f aca="false">IF($D244="",0,LEN($D244)-LEN(SUBSTITUTE($D244,",",""))+1)</f>
        <v>4</v>
      </c>
      <c r="F244" s="6"/>
    </row>
    <row r="245" customFormat="false" ht="15" hidden="false" customHeight="true" outlineLevel="0" collapsed="false">
      <c r="A245" s="5" t="n">
        <v>42523</v>
      </c>
      <c r="B245" s="6" t="s">
        <v>121</v>
      </c>
      <c r="C245" s="6" t="s">
        <v>22</v>
      </c>
      <c r="D245" s="6" t="s">
        <v>34</v>
      </c>
      <c r="E245" s="6" t="n">
        <f aca="false">IF($D245="",0,LEN($D245)-LEN(SUBSTITUTE($D245,",",""))+1)</f>
        <v>3</v>
      </c>
      <c r="F245" s="6" t="s">
        <v>126</v>
      </c>
    </row>
    <row r="246" customFormat="false" ht="15" hidden="false" customHeight="true" outlineLevel="0" collapsed="false">
      <c r="A246" s="5" t="n">
        <v>42523</v>
      </c>
      <c r="B246" s="6" t="s">
        <v>121</v>
      </c>
      <c r="C246" s="6" t="s">
        <v>21</v>
      </c>
      <c r="D246" s="6" t="s">
        <v>76</v>
      </c>
      <c r="E246" s="6" t="n">
        <f aca="false">IF($D246="",0,LEN($D246)-LEN(SUBSTITUTE($D246,",",""))+1)</f>
        <v>5</v>
      </c>
      <c r="F246" s="6" t="s">
        <v>126</v>
      </c>
    </row>
    <row r="247" customFormat="false" ht="15" hidden="false" customHeight="true" outlineLevel="0" collapsed="false">
      <c r="A247" s="5" t="n">
        <v>42524</v>
      </c>
      <c r="B247" s="6" t="s">
        <v>121</v>
      </c>
      <c r="C247" s="6" t="s">
        <v>21</v>
      </c>
      <c r="D247" s="6" t="s">
        <v>76</v>
      </c>
      <c r="E247" s="6" t="n">
        <f aca="false">IF($D247="",0,LEN($D247)-LEN(SUBSTITUTE($D247,",",""))+1)</f>
        <v>5</v>
      </c>
      <c r="F247" s="6" t="s">
        <v>126</v>
      </c>
    </row>
    <row r="248" customFormat="false" ht="15" hidden="false" customHeight="true" outlineLevel="0" collapsed="false">
      <c r="A248" s="5" t="n">
        <v>42524</v>
      </c>
      <c r="B248" s="6" t="s">
        <v>128</v>
      </c>
      <c r="C248" s="6" t="s">
        <v>21</v>
      </c>
      <c r="D248" s="6" t="s">
        <v>34</v>
      </c>
      <c r="E248" s="6" t="n">
        <f aca="false">IF($D248="",0,LEN($D248)-LEN(SUBSTITUTE($D248,",",""))+1)</f>
        <v>3</v>
      </c>
      <c r="F248" s="6" t="s">
        <v>129</v>
      </c>
    </row>
    <row r="249" customFormat="false" ht="15" hidden="false" customHeight="true" outlineLevel="0" collapsed="false">
      <c r="A249" s="5" t="n">
        <v>42524</v>
      </c>
      <c r="B249" s="6" t="s">
        <v>128</v>
      </c>
      <c r="C249" s="6" t="s">
        <v>21</v>
      </c>
      <c r="D249" s="6" t="s">
        <v>59</v>
      </c>
      <c r="E249" s="6" t="n">
        <f aca="false">IF($D249="",0,LEN($D249)-LEN(SUBSTITUTE($D249,",",""))+1)</f>
        <v>2</v>
      </c>
      <c r="F249" s="6"/>
    </row>
    <row r="250" customFormat="false" ht="15" hidden="false" customHeight="true" outlineLevel="0" collapsed="false">
      <c r="A250" s="5" t="n">
        <v>42525</v>
      </c>
      <c r="B250" s="6" t="s">
        <v>128</v>
      </c>
      <c r="C250" s="6" t="s">
        <v>21</v>
      </c>
      <c r="D250" s="6" t="s">
        <v>34</v>
      </c>
      <c r="E250" s="6" t="n">
        <f aca="false">IF($D250="",0,LEN($D250)-LEN(SUBSTITUTE($D250,",",""))+1)</f>
        <v>3</v>
      </c>
      <c r="F250" s="6"/>
    </row>
    <row r="251" customFormat="false" ht="15" hidden="false" customHeight="true" outlineLevel="0" collapsed="false">
      <c r="A251" s="5" t="n">
        <v>42525</v>
      </c>
      <c r="B251" s="6" t="s">
        <v>128</v>
      </c>
      <c r="C251" s="6" t="s">
        <v>21</v>
      </c>
      <c r="D251" s="6" t="s">
        <v>34</v>
      </c>
      <c r="E251" s="6" t="n">
        <f aca="false">IF($D251="",0,LEN($D251)-LEN(SUBSTITUTE($D251,",",""))+1)</f>
        <v>3</v>
      </c>
      <c r="F251" s="6"/>
    </row>
    <row r="252" customFormat="false" ht="15" hidden="false" customHeight="true" outlineLevel="0" collapsed="false">
      <c r="A252" s="5" t="n">
        <v>42525</v>
      </c>
      <c r="B252" s="6" t="s">
        <v>128</v>
      </c>
      <c r="C252" s="6" t="s">
        <v>22</v>
      </c>
      <c r="D252" s="6" t="s">
        <v>34</v>
      </c>
      <c r="E252" s="6" t="n">
        <f aca="false">IF($D252="",0,LEN($D252)-LEN(SUBSTITUTE($D252,",",""))+1)</f>
        <v>3</v>
      </c>
      <c r="F252" s="6"/>
    </row>
    <row r="253" customFormat="false" ht="15" hidden="false" customHeight="true" outlineLevel="0" collapsed="false">
      <c r="A253" s="5" t="n">
        <v>42525</v>
      </c>
      <c r="B253" s="6" t="s">
        <v>128</v>
      </c>
      <c r="C253" s="6" t="s">
        <v>21</v>
      </c>
      <c r="D253" s="6" t="s">
        <v>59</v>
      </c>
      <c r="E253" s="6" t="n">
        <f aca="false">IF($D253="",0,LEN($D253)-LEN(SUBSTITUTE($D253,",",""))+1)</f>
        <v>2</v>
      </c>
      <c r="F253" s="6"/>
    </row>
    <row r="254" customFormat="false" ht="15" hidden="false" customHeight="true" outlineLevel="0" collapsed="false">
      <c r="A254" s="5" t="n">
        <v>42530</v>
      </c>
      <c r="B254" s="6" t="s">
        <v>128</v>
      </c>
      <c r="C254" s="6" t="s">
        <v>21</v>
      </c>
      <c r="D254" s="6" t="s">
        <v>59</v>
      </c>
      <c r="E254" s="6" t="n">
        <f aca="false">IF($D254="",0,LEN($D254)-LEN(SUBSTITUTE($D254,",",""))+1)</f>
        <v>2</v>
      </c>
      <c r="F254" s="6"/>
    </row>
    <row r="255" customFormat="false" ht="15" hidden="false" customHeight="true" outlineLevel="0" collapsed="false">
      <c r="A255" s="5" t="n">
        <v>42530</v>
      </c>
      <c r="B255" s="6" t="s">
        <v>54</v>
      </c>
      <c r="C255" s="6" t="s">
        <v>33</v>
      </c>
      <c r="D255" s="6" t="s">
        <v>130</v>
      </c>
      <c r="E255" s="6" t="n">
        <f aca="false">IF($D255="",0,LEN($D255)-LEN(SUBSTITUTE($D255,",",""))+1)</f>
        <v>3</v>
      </c>
      <c r="F255" s="6"/>
    </row>
    <row r="256" customFormat="false" ht="15" hidden="false" customHeight="true" outlineLevel="0" collapsed="false">
      <c r="A256" s="5" t="n">
        <v>42531</v>
      </c>
      <c r="B256" s="6" t="s">
        <v>23</v>
      </c>
      <c r="C256" s="6" t="s">
        <v>24</v>
      </c>
      <c r="D256" s="6" t="s">
        <v>19</v>
      </c>
      <c r="E256" s="6" t="n">
        <f aca="false">IF($D256="",0,LEN($D256)-LEN(SUBSTITUTE($D256,",",""))+1)</f>
        <v>4</v>
      </c>
      <c r="F256" s="6"/>
    </row>
    <row r="257" customFormat="false" ht="15" hidden="false" customHeight="true" outlineLevel="0" collapsed="false">
      <c r="A257" s="5" t="n">
        <v>42531</v>
      </c>
      <c r="B257" s="6" t="s">
        <v>128</v>
      </c>
      <c r="C257" s="6" t="s">
        <v>21</v>
      </c>
      <c r="D257" s="6" t="s">
        <v>34</v>
      </c>
      <c r="E257" s="6" t="n">
        <f aca="false">IF($D257="",0,LEN($D257)-LEN(SUBSTITUTE($D257,",",""))+1)</f>
        <v>3</v>
      </c>
      <c r="F257" s="6"/>
    </row>
    <row r="258" customFormat="false" ht="15" hidden="false" customHeight="true" outlineLevel="0" collapsed="false">
      <c r="A258" s="5" t="n">
        <v>42531</v>
      </c>
      <c r="B258" s="6" t="s">
        <v>128</v>
      </c>
      <c r="C258" s="6" t="s">
        <v>21</v>
      </c>
      <c r="D258" s="6" t="s">
        <v>34</v>
      </c>
      <c r="E258" s="6" t="n">
        <f aca="false">IF($D258="",0,LEN($D258)-LEN(SUBSTITUTE($D258,",",""))+1)</f>
        <v>3</v>
      </c>
      <c r="F258" s="6"/>
    </row>
    <row r="259" customFormat="false" ht="15" hidden="false" customHeight="true" outlineLevel="0" collapsed="false">
      <c r="A259" s="5" t="n">
        <v>42531</v>
      </c>
      <c r="B259" s="6" t="s">
        <v>104</v>
      </c>
      <c r="C259" s="6" t="s">
        <v>33</v>
      </c>
      <c r="D259" s="6" t="s">
        <v>34</v>
      </c>
      <c r="E259" s="6" t="n">
        <f aca="false">IF($D259="",0,LEN($D259)-LEN(SUBSTITUTE($D259,",",""))+1)</f>
        <v>3</v>
      </c>
      <c r="F259" s="6"/>
    </row>
    <row r="260" customFormat="false" ht="15" hidden="false" customHeight="true" outlineLevel="0" collapsed="false">
      <c r="A260" s="5" t="n">
        <v>42531</v>
      </c>
      <c r="B260" s="6" t="s">
        <v>104</v>
      </c>
      <c r="C260" s="6" t="s">
        <v>21</v>
      </c>
      <c r="D260" s="6" t="s">
        <v>34</v>
      </c>
      <c r="E260" s="6" t="n">
        <f aca="false">IF($D260="",0,LEN($D260)-LEN(SUBSTITUTE($D260,",",""))+1)</f>
        <v>3</v>
      </c>
      <c r="F260" s="6"/>
    </row>
    <row r="261" customFormat="false" ht="15" hidden="false" customHeight="true" outlineLevel="0" collapsed="false">
      <c r="A261" s="5" t="n">
        <v>42531</v>
      </c>
      <c r="B261" s="6" t="s">
        <v>104</v>
      </c>
      <c r="C261" s="6" t="s">
        <v>33</v>
      </c>
      <c r="D261" s="6" t="s">
        <v>131</v>
      </c>
      <c r="E261" s="6" t="n">
        <f aca="false">IF($D261="",0,LEN($D261)-LEN(SUBSTITUTE($D261,",",""))+1)</f>
        <v>2</v>
      </c>
      <c r="F261" s="6"/>
    </row>
    <row r="262" customFormat="false" ht="15" hidden="false" customHeight="true" outlineLevel="0" collapsed="false">
      <c r="A262" s="5" t="n">
        <v>42539</v>
      </c>
      <c r="B262" s="6" t="s">
        <v>114</v>
      </c>
      <c r="C262" s="6" t="s">
        <v>22</v>
      </c>
      <c r="D262" s="6" t="s">
        <v>34</v>
      </c>
      <c r="E262" s="6" t="n">
        <f aca="false">IF($D262="",0,LEN($D262)-LEN(SUBSTITUTE($D262,",",""))+1)</f>
        <v>3</v>
      </c>
      <c r="F262" s="6" t="s">
        <v>117</v>
      </c>
    </row>
    <row r="263" customFormat="false" ht="15" hidden="false" customHeight="true" outlineLevel="0" collapsed="false">
      <c r="A263" s="5" t="n">
        <v>42539</v>
      </c>
      <c r="B263" s="6" t="s">
        <v>128</v>
      </c>
      <c r="C263" s="6" t="s">
        <v>21</v>
      </c>
      <c r="D263" s="6" t="s">
        <v>34</v>
      </c>
      <c r="E263" s="6" t="n">
        <f aca="false">IF($D263="",0,LEN($D263)-LEN(SUBSTITUTE($D263,",",""))+1)</f>
        <v>3</v>
      </c>
      <c r="F263" s="6"/>
    </row>
    <row r="264" customFormat="false" ht="15" hidden="false" customHeight="true" outlineLevel="0" collapsed="false">
      <c r="A264" s="5" t="n">
        <v>42539</v>
      </c>
      <c r="B264" s="6" t="s">
        <v>128</v>
      </c>
      <c r="C264" s="6" t="s">
        <v>33</v>
      </c>
      <c r="D264" s="6" t="s">
        <v>34</v>
      </c>
      <c r="E264" s="6" t="n">
        <f aca="false">IF($D264="",0,LEN($D264)-LEN(SUBSTITUTE($D264,",",""))+1)</f>
        <v>3</v>
      </c>
      <c r="F264" s="6"/>
    </row>
    <row r="265" customFormat="false" ht="15" hidden="false" customHeight="true" outlineLevel="0" collapsed="false">
      <c r="A265" s="5" t="n">
        <v>42539</v>
      </c>
      <c r="B265" s="6" t="s">
        <v>104</v>
      </c>
      <c r="C265" s="6" t="s">
        <v>33</v>
      </c>
      <c r="D265" s="6" t="s">
        <v>28</v>
      </c>
      <c r="E265" s="6" t="n">
        <f aca="false">IF($D265="",0,LEN($D265)-LEN(SUBSTITUTE($D265,",",""))+1)</f>
        <v>4</v>
      </c>
      <c r="F265" s="6"/>
    </row>
    <row r="266" customFormat="false" ht="15" hidden="false" customHeight="true" outlineLevel="0" collapsed="false">
      <c r="A266" s="5" t="n">
        <v>42546</v>
      </c>
      <c r="B266" s="6" t="s">
        <v>128</v>
      </c>
      <c r="C266" s="6" t="s">
        <v>35</v>
      </c>
      <c r="D266" s="6" t="s">
        <v>56</v>
      </c>
      <c r="E266" s="6" t="n">
        <f aca="false">IF($D266="",0,LEN($D266)-LEN(SUBSTITUTE($D266,",",""))+1)</f>
        <v>3</v>
      </c>
      <c r="F266" s="6"/>
    </row>
    <row r="267" customFormat="false" ht="15" hidden="false" customHeight="true" outlineLevel="0" collapsed="false">
      <c r="A267" s="5" t="n">
        <v>42546</v>
      </c>
      <c r="B267" s="6" t="s">
        <v>128</v>
      </c>
      <c r="C267" s="6" t="s">
        <v>21</v>
      </c>
      <c r="D267" s="6" t="s">
        <v>34</v>
      </c>
      <c r="E267" s="6" t="n">
        <f aca="false">IF($D267="",0,LEN($D267)-LEN(SUBSTITUTE($D267,",",""))+1)</f>
        <v>3</v>
      </c>
      <c r="F267" s="6"/>
    </row>
    <row r="268" customFormat="false" ht="15" hidden="false" customHeight="true" outlineLevel="0" collapsed="false">
      <c r="A268" s="5" t="n">
        <v>42552</v>
      </c>
      <c r="B268" s="6" t="s">
        <v>128</v>
      </c>
      <c r="C268" s="6" t="s">
        <v>22</v>
      </c>
      <c r="D268" s="6" t="s">
        <v>34</v>
      </c>
      <c r="E268" s="6" t="n">
        <f aca="false">IF($D268="",0,LEN($D268)-LEN(SUBSTITUTE($D268,",",""))+1)</f>
        <v>3</v>
      </c>
      <c r="F268" s="6"/>
    </row>
    <row r="269" customFormat="false" ht="15" hidden="false" customHeight="true" outlineLevel="0" collapsed="false">
      <c r="A269" s="5" t="n">
        <v>42552</v>
      </c>
      <c r="B269" s="6" t="s">
        <v>128</v>
      </c>
      <c r="C269" s="6" t="s">
        <v>22</v>
      </c>
      <c r="D269" s="6" t="s">
        <v>34</v>
      </c>
      <c r="E269" s="6" t="n">
        <f aca="false">IF($D269="",0,LEN($D269)-LEN(SUBSTITUTE($D269,",",""))+1)</f>
        <v>3</v>
      </c>
      <c r="F269" s="6"/>
    </row>
    <row r="270" customFormat="false" ht="15" hidden="false" customHeight="true" outlineLevel="0" collapsed="false">
      <c r="A270" s="5" t="n">
        <v>42552</v>
      </c>
      <c r="B270" s="6" t="s">
        <v>104</v>
      </c>
      <c r="C270" s="6" t="s">
        <v>33</v>
      </c>
      <c r="D270" s="6" t="s">
        <v>34</v>
      </c>
      <c r="E270" s="6" t="n">
        <f aca="false">IF($D270="",0,LEN($D270)-LEN(SUBSTITUTE($D270,",",""))+1)</f>
        <v>3</v>
      </c>
      <c r="F270" s="6"/>
    </row>
    <row r="271" customFormat="false" ht="15" hidden="false" customHeight="true" outlineLevel="0" collapsed="false">
      <c r="A271" s="5" t="n">
        <v>42552</v>
      </c>
      <c r="B271" s="6" t="s">
        <v>104</v>
      </c>
      <c r="C271" s="6" t="s">
        <v>22</v>
      </c>
      <c r="D271" s="6" t="s">
        <v>34</v>
      </c>
      <c r="E271" s="6" t="n">
        <f aca="false">IF($D271="",0,LEN($D271)-LEN(SUBSTITUTE($D271,",",""))+1)</f>
        <v>3</v>
      </c>
      <c r="F271" s="6"/>
    </row>
    <row r="272" customFormat="false" ht="15" hidden="false" customHeight="true" outlineLevel="0" collapsed="false">
      <c r="A272" s="5" t="n">
        <v>42553</v>
      </c>
      <c r="B272" s="6" t="s">
        <v>128</v>
      </c>
      <c r="C272" s="6" t="s">
        <v>21</v>
      </c>
      <c r="D272" s="6" t="s">
        <v>59</v>
      </c>
      <c r="E272" s="6" t="n">
        <f aca="false">IF($D272="",0,LEN($D272)-LEN(SUBSTITUTE($D272,",",""))+1)</f>
        <v>2</v>
      </c>
      <c r="F272" s="6"/>
    </row>
    <row r="273" customFormat="false" ht="15" hidden="false" customHeight="true" outlineLevel="0" collapsed="false">
      <c r="A273" s="5" t="n">
        <v>42553</v>
      </c>
      <c r="B273" s="6" t="s">
        <v>128</v>
      </c>
      <c r="C273" s="6" t="s">
        <v>21</v>
      </c>
      <c r="D273" s="6" t="s">
        <v>59</v>
      </c>
      <c r="E273" s="6" t="n">
        <f aca="false">IF($D273="",0,LEN($D273)-LEN(SUBSTITUTE($D273,",",""))+1)</f>
        <v>2</v>
      </c>
      <c r="F273" s="6"/>
    </row>
    <row r="274" customFormat="false" ht="15" hidden="false" customHeight="true" outlineLevel="0" collapsed="false">
      <c r="A274" s="5" t="n">
        <v>42553</v>
      </c>
      <c r="B274" s="6" t="s">
        <v>54</v>
      </c>
      <c r="C274" s="6" t="s">
        <v>21</v>
      </c>
      <c r="D274" s="6" t="s">
        <v>59</v>
      </c>
      <c r="E274" s="6" t="n">
        <f aca="false">IF($D274="",0,LEN($D274)-LEN(SUBSTITUTE($D274,",",""))+1)</f>
        <v>2</v>
      </c>
      <c r="F274" s="6"/>
    </row>
    <row r="275" customFormat="false" ht="15" hidden="false" customHeight="true" outlineLevel="0" collapsed="false">
      <c r="A275" s="5" t="n">
        <v>42553</v>
      </c>
      <c r="B275" s="6" t="s">
        <v>114</v>
      </c>
      <c r="C275" s="6" t="s">
        <v>21</v>
      </c>
      <c r="D275" s="6" t="s">
        <v>59</v>
      </c>
      <c r="E275" s="6" t="n">
        <f aca="false">IF($D275="",0,LEN($D275)-LEN(SUBSTITUTE($D275,",",""))+1)</f>
        <v>2</v>
      </c>
      <c r="F275" s="6" t="s">
        <v>117</v>
      </c>
    </row>
    <row r="276" customFormat="false" ht="15" hidden="false" customHeight="true" outlineLevel="0" collapsed="false">
      <c r="A276" s="5" t="n">
        <v>42553</v>
      </c>
      <c r="B276" s="6" t="s">
        <v>128</v>
      </c>
      <c r="C276" s="6" t="s">
        <v>33</v>
      </c>
      <c r="D276" s="6" t="s">
        <v>132</v>
      </c>
      <c r="E276" s="6" t="n">
        <f aca="false">IF($D276="",0,LEN($D276)-LEN(SUBSTITUTE($D276,",",""))+1)</f>
        <v>5</v>
      </c>
      <c r="F276" s="6"/>
    </row>
    <row r="277" customFormat="false" ht="15" hidden="false" customHeight="true" outlineLevel="0" collapsed="false">
      <c r="A277" s="5" t="n">
        <v>42560</v>
      </c>
      <c r="B277" s="6" t="s">
        <v>42</v>
      </c>
      <c r="C277" s="6" t="s">
        <v>133</v>
      </c>
      <c r="D277" s="6" t="s">
        <v>134</v>
      </c>
      <c r="E277" s="6" t="n">
        <f aca="false">IF($D277="",0,LEN($D277)-LEN(SUBSTITUTE($D277,",",""))+1)</f>
        <v>3</v>
      </c>
      <c r="F277" s="6"/>
    </row>
    <row r="278" customFormat="false" ht="15" hidden="false" customHeight="true" outlineLevel="0" collapsed="false">
      <c r="A278" s="5" t="n">
        <v>42560</v>
      </c>
      <c r="B278" s="6" t="s">
        <v>128</v>
      </c>
      <c r="C278" s="6" t="s">
        <v>21</v>
      </c>
      <c r="D278" s="6" t="s">
        <v>59</v>
      </c>
      <c r="E278" s="6" t="n">
        <f aca="false">IF($D278="",0,LEN($D278)-LEN(SUBSTITUTE($D278,",",""))+1)</f>
        <v>2</v>
      </c>
      <c r="F278" s="6"/>
    </row>
    <row r="279" customFormat="false" ht="15" hidden="false" customHeight="true" outlineLevel="0" collapsed="false">
      <c r="A279" s="5" t="n">
        <v>42560</v>
      </c>
      <c r="B279" s="6" t="s">
        <v>128</v>
      </c>
      <c r="C279" s="6" t="s">
        <v>21</v>
      </c>
      <c r="D279" s="6" t="s">
        <v>59</v>
      </c>
      <c r="E279" s="6" t="n">
        <f aca="false">IF($D279="",0,LEN($D279)-LEN(SUBSTITUTE($D279,",",""))+1)</f>
        <v>2</v>
      </c>
      <c r="F279" s="6"/>
    </row>
    <row r="280" customFormat="false" ht="15" hidden="false" customHeight="true" outlineLevel="0" collapsed="false">
      <c r="A280" s="5" t="n">
        <v>42581</v>
      </c>
      <c r="B280" s="6" t="s">
        <v>128</v>
      </c>
      <c r="C280" s="6" t="s">
        <v>21</v>
      </c>
      <c r="D280" s="6" t="s">
        <v>59</v>
      </c>
      <c r="E280" s="6" t="n">
        <f aca="false">IF($D280="",0,LEN($D280)-LEN(SUBSTITUTE($D280,",",""))+1)</f>
        <v>2</v>
      </c>
      <c r="F280" s="6"/>
    </row>
    <row r="281" customFormat="false" ht="15" hidden="false" customHeight="true" outlineLevel="0" collapsed="false">
      <c r="A281" s="5" t="n">
        <v>42581</v>
      </c>
      <c r="B281" s="6" t="s">
        <v>128</v>
      </c>
      <c r="C281" s="6" t="s">
        <v>21</v>
      </c>
      <c r="D281" s="6" t="s">
        <v>57</v>
      </c>
      <c r="E281" s="6" t="n">
        <f aca="false">IF($D281="",0,LEN($D281)-LEN(SUBSTITUTE($D281,",",""))+1)</f>
        <v>3</v>
      </c>
      <c r="F281" s="6"/>
    </row>
    <row r="282" customFormat="false" ht="15" hidden="false" customHeight="true" outlineLevel="0" collapsed="false">
      <c r="A282" s="5" t="n">
        <v>42581</v>
      </c>
      <c r="B282" s="6" t="s">
        <v>121</v>
      </c>
      <c r="C282" s="6" t="s">
        <v>21</v>
      </c>
      <c r="D282" s="6" t="s">
        <v>59</v>
      </c>
      <c r="E282" s="6" t="n">
        <f aca="false">IF($D282="",0,LEN($D282)-LEN(SUBSTITUTE($D282,",",""))+1)</f>
        <v>2</v>
      </c>
      <c r="F282" s="6" t="s">
        <v>124</v>
      </c>
    </row>
    <row r="283" customFormat="false" ht="15" hidden="false" customHeight="true" outlineLevel="0" collapsed="false">
      <c r="A283" s="5" t="n">
        <v>42581</v>
      </c>
      <c r="B283" s="6" t="s">
        <v>54</v>
      </c>
      <c r="C283" s="6" t="s">
        <v>33</v>
      </c>
      <c r="D283" s="6" t="s">
        <v>59</v>
      </c>
      <c r="E283" s="6" t="n">
        <f aca="false">IF($D283="",0,LEN($D283)-LEN(SUBSTITUTE($D283,",",""))+1)</f>
        <v>2</v>
      </c>
      <c r="F283" s="6"/>
    </row>
    <row r="284" customFormat="false" ht="15" hidden="false" customHeight="true" outlineLevel="0" collapsed="false">
      <c r="A284" s="5" t="n">
        <v>42581</v>
      </c>
      <c r="B284" s="6" t="s">
        <v>104</v>
      </c>
      <c r="C284" s="6" t="s">
        <v>21</v>
      </c>
      <c r="D284" s="6" t="s">
        <v>59</v>
      </c>
      <c r="E284" s="6" t="n">
        <f aca="false">IF($D284="",0,LEN($D284)-LEN(SUBSTITUTE($D284,",",""))+1)</f>
        <v>2</v>
      </c>
      <c r="F284" s="6"/>
    </row>
    <row r="285" customFormat="false" ht="15" hidden="false" customHeight="true" outlineLevel="0" collapsed="false">
      <c r="A285" s="5" t="n">
        <v>42581</v>
      </c>
      <c r="B285" s="6" t="s">
        <v>104</v>
      </c>
      <c r="C285" s="6" t="s">
        <v>33</v>
      </c>
      <c r="D285" s="6" t="s">
        <v>59</v>
      </c>
      <c r="E285" s="6" t="n">
        <f aca="false">IF($D285="",0,LEN($D285)-LEN(SUBSTITUTE($D285,",",""))+1)</f>
        <v>2</v>
      </c>
      <c r="F285" s="6"/>
    </row>
    <row r="286" customFormat="false" ht="15" hidden="false" customHeight="true" outlineLevel="0" collapsed="false">
      <c r="A286" s="5" t="n">
        <v>42581</v>
      </c>
      <c r="B286" s="6" t="s">
        <v>104</v>
      </c>
      <c r="C286" s="6" t="s">
        <v>21</v>
      </c>
      <c r="D286" s="6" t="s">
        <v>59</v>
      </c>
      <c r="E286" s="6" t="n">
        <f aca="false">IF($D286="",0,LEN($D286)-LEN(SUBSTITUTE($D286,",",""))+1)</f>
        <v>2</v>
      </c>
      <c r="F286" s="6"/>
    </row>
    <row r="287" customFormat="false" ht="15" hidden="false" customHeight="true" outlineLevel="0" collapsed="false">
      <c r="A287" s="5" t="n">
        <v>42582</v>
      </c>
      <c r="B287" s="6" t="s">
        <v>128</v>
      </c>
      <c r="C287" s="6" t="s">
        <v>21</v>
      </c>
      <c r="D287" s="6" t="s">
        <v>59</v>
      </c>
      <c r="E287" s="6" t="n">
        <f aca="false">IF($D287="",0,LEN($D287)-LEN(SUBSTITUTE($D287,",",""))+1)</f>
        <v>2</v>
      </c>
      <c r="F287" s="6"/>
    </row>
    <row r="288" customFormat="false" ht="15" hidden="false" customHeight="true" outlineLevel="0" collapsed="false">
      <c r="A288" s="5" t="n">
        <v>42582</v>
      </c>
      <c r="B288" s="6" t="s">
        <v>128</v>
      </c>
      <c r="C288" s="6" t="s">
        <v>21</v>
      </c>
      <c r="D288" s="6" t="s">
        <v>59</v>
      </c>
      <c r="E288" s="6" t="n">
        <f aca="false">IF($D288="",0,LEN($D288)-LEN(SUBSTITUTE($D288,",",""))+1)</f>
        <v>2</v>
      </c>
      <c r="F288" s="6"/>
    </row>
    <row r="289" customFormat="false" ht="15" hidden="false" customHeight="true" outlineLevel="0" collapsed="false">
      <c r="A289" s="5" t="n">
        <v>42582</v>
      </c>
      <c r="B289" s="6" t="s">
        <v>54</v>
      </c>
      <c r="C289" s="6" t="s">
        <v>33</v>
      </c>
      <c r="D289" s="6" t="s">
        <v>59</v>
      </c>
      <c r="E289" s="6" t="n">
        <f aca="false">IF($D289="",0,LEN($D289)-LEN(SUBSTITUTE($D289,",",""))+1)</f>
        <v>2</v>
      </c>
      <c r="F289" s="6"/>
    </row>
    <row r="290" customFormat="false" ht="15" hidden="false" customHeight="true" outlineLevel="0" collapsed="false">
      <c r="A290" s="5" t="n">
        <v>42582</v>
      </c>
      <c r="B290" s="6" t="s">
        <v>104</v>
      </c>
      <c r="C290" s="6" t="s">
        <v>21</v>
      </c>
      <c r="D290" s="6" t="s">
        <v>59</v>
      </c>
      <c r="E290" s="6" t="n">
        <f aca="false">IF($D290="",0,LEN($D290)-LEN(SUBSTITUTE($D290,",",""))+1)</f>
        <v>2</v>
      </c>
      <c r="F290" s="6"/>
    </row>
    <row r="291" customFormat="false" ht="15" hidden="false" customHeight="true" outlineLevel="0" collapsed="false">
      <c r="A291" s="5" t="n">
        <v>42582</v>
      </c>
      <c r="B291" s="6" t="s">
        <v>104</v>
      </c>
      <c r="C291" s="6" t="s">
        <v>33</v>
      </c>
      <c r="D291" s="6" t="s">
        <v>59</v>
      </c>
      <c r="E291" s="6" t="n">
        <f aca="false">IF($D291="",0,LEN($D291)-LEN(SUBSTITUTE($D291,",",""))+1)</f>
        <v>2</v>
      </c>
      <c r="F291" s="6"/>
    </row>
    <row r="292" customFormat="false" ht="15" hidden="false" customHeight="true" outlineLevel="0" collapsed="false">
      <c r="A292" s="5" t="n">
        <v>42582</v>
      </c>
      <c r="B292" s="6" t="s">
        <v>104</v>
      </c>
      <c r="C292" s="6" t="s">
        <v>33</v>
      </c>
      <c r="D292" s="6" t="s">
        <v>34</v>
      </c>
      <c r="E292" s="6" t="n">
        <f aca="false">IF($D292="",0,LEN($D292)-LEN(SUBSTITUTE($D292,",",""))+1)</f>
        <v>3</v>
      </c>
      <c r="F292" s="6"/>
    </row>
    <row r="293" customFormat="false" ht="15" hidden="false" customHeight="true" outlineLevel="0" collapsed="false">
      <c r="A293" s="5" t="n">
        <v>44604</v>
      </c>
      <c r="B293" s="6" t="s">
        <v>135</v>
      </c>
      <c r="C293" s="6" t="s">
        <v>33</v>
      </c>
      <c r="D293" s="6" t="s">
        <v>32</v>
      </c>
      <c r="E293" s="6" t="n">
        <f aca="false">IF($D293="",0,LEN($D293)-LEN(SUBSTITUTE($D293,",",""))+1)</f>
        <v>4</v>
      </c>
      <c r="F293" s="6"/>
    </row>
    <row r="294" customFormat="false" ht="15" hidden="false" customHeight="true" outlineLevel="0" collapsed="false">
      <c r="A294" s="5" t="n">
        <v>44604</v>
      </c>
      <c r="B294" s="6" t="s">
        <v>135</v>
      </c>
      <c r="C294" s="6" t="s">
        <v>21</v>
      </c>
      <c r="D294" s="6" t="s">
        <v>32</v>
      </c>
      <c r="E294" s="6" t="n">
        <f aca="false">IF($D294="",0,LEN($D294)-LEN(SUBSTITUTE($D294,",",""))+1)</f>
        <v>4</v>
      </c>
      <c r="F294" s="6"/>
    </row>
    <row r="295" customFormat="false" ht="15" hidden="false" customHeight="true" outlineLevel="0" collapsed="false">
      <c r="A295" s="5" t="n">
        <v>44604</v>
      </c>
      <c r="B295" s="6" t="s">
        <v>136</v>
      </c>
      <c r="C295" s="6" t="s">
        <v>22</v>
      </c>
      <c r="D295" s="6" t="s">
        <v>32</v>
      </c>
      <c r="E295" s="6" t="n">
        <f aca="false">IF($D295="",0,LEN($D295)-LEN(SUBSTITUTE($D295,",",""))+1)</f>
        <v>4</v>
      </c>
      <c r="F295" s="6"/>
    </row>
    <row r="296" customFormat="false" ht="15" hidden="false" customHeight="true" outlineLevel="0" collapsed="false">
      <c r="A296" s="5" t="n">
        <v>44665</v>
      </c>
      <c r="B296" s="6" t="s">
        <v>136</v>
      </c>
      <c r="C296" s="6" t="s">
        <v>33</v>
      </c>
      <c r="D296" s="6" t="s">
        <v>34</v>
      </c>
      <c r="E296" s="6" t="n">
        <f aca="false">IF($D296="",0,LEN($D296)-LEN(SUBSTITUTE($D296,",",""))+1)</f>
        <v>3</v>
      </c>
      <c r="F296" s="6"/>
    </row>
    <row r="297" customFormat="false" ht="15" hidden="false" customHeight="true" outlineLevel="0" collapsed="false">
      <c r="A297" s="5" t="n">
        <v>44665</v>
      </c>
      <c r="B297" s="6" t="s">
        <v>137</v>
      </c>
      <c r="C297" s="6" t="s">
        <v>21</v>
      </c>
      <c r="D297" s="6" t="s">
        <v>21</v>
      </c>
      <c r="E297" s="6" t="n">
        <f aca="false">IF($D297="",0,LEN($D297)-LEN(SUBSTITUTE($D297,",",""))+1)</f>
        <v>1</v>
      </c>
      <c r="F297" s="6"/>
    </row>
    <row r="298" customFormat="false" ht="15" hidden="false" customHeight="true" outlineLevel="0" collapsed="false">
      <c r="A298" s="5" t="n">
        <v>44667</v>
      </c>
      <c r="B298" s="6" t="s">
        <v>137</v>
      </c>
      <c r="C298" s="6" t="s">
        <v>21</v>
      </c>
      <c r="D298" s="6" t="s">
        <v>34</v>
      </c>
      <c r="E298" s="6" t="n">
        <f aca="false">IF($D298="",0,LEN($D298)-LEN(SUBSTITUTE($D298,",",""))+1)</f>
        <v>3</v>
      </c>
      <c r="F298" s="6"/>
    </row>
    <row r="299" customFormat="false" ht="15" hidden="false" customHeight="true" outlineLevel="0" collapsed="false">
      <c r="A299" s="5" t="n">
        <v>44667</v>
      </c>
      <c r="B299" s="6" t="s">
        <v>136</v>
      </c>
      <c r="C299" s="6" t="s">
        <v>21</v>
      </c>
      <c r="D299" s="6" t="s">
        <v>32</v>
      </c>
      <c r="E299" s="6" t="n">
        <f aca="false">IF($D299="",0,LEN($D299)-LEN(SUBSTITUTE($D299,",",""))+1)</f>
        <v>4</v>
      </c>
      <c r="F299" s="6"/>
    </row>
    <row r="300" customFormat="false" ht="15" hidden="false" customHeight="true" outlineLevel="0" collapsed="false">
      <c r="A300" s="5" t="n">
        <v>44673</v>
      </c>
      <c r="B300" s="6" t="s">
        <v>136</v>
      </c>
      <c r="C300" s="6" t="s">
        <v>21</v>
      </c>
      <c r="D300" s="6" t="s">
        <v>56</v>
      </c>
      <c r="E300" s="6" t="n">
        <f aca="false">IF($D300="",0,LEN($D300)-LEN(SUBSTITUTE($D300,",",""))+1)</f>
        <v>3</v>
      </c>
      <c r="F300" s="6"/>
    </row>
    <row r="301" customFormat="false" ht="15" hidden="false" customHeight="true" outlineLevel="0" collapsed="false">
      <c r="A301" s="5" t="n">
        <v>44673</v>
      </c>
      <c r="B301" s="6" t="s">
        <v>135</v>
      </c>
      <c r="C301" s="6" t="s">
        <v>35</v>
      </c>
      <c r="D301" s="6" t="s">
        <v>32</v>
      </c>
      <c r="E301" s="6" t="n">
        <f aca="false">IF($D301="",0,LEN($D301)-LEN(SUBSTITUTE($D301,",",""))+1)</f>
        <v>4</v>
      </c>
      <c r="F301" s="6"/>
    </row>
    <row r="302" customFormat="false" ht="15" hidden="false" customHeight="true" outlineLevel="0" collapsed="false">
      <c r="A302" s="5" t="n">
        <v>44687</v>
      </c>
      <c r="B302" s="6" t="s">
        <v>54</v>
      </c>
      <c r="C302" s="6" t="s">
        <v>21</v>
      </c>
      <c r="D302" s="6" t="s">
        <v>59</v>
      </c>
      <c r="E302" s="6" t="n">
        <f aca="false">IF($D302="",0,LEN($D302)-LEN(SUBSTITUTE($D302,",",""))+1)</f>
        <v>2</v>
      </c>
      <c r="F302" s="6"/>
    </row>
    <row r="303" customFormat="false" ht="15" hidden="false" customHeight="true" outlineLevel="0" collapsed="false">
      <c r="A303" s="5" t="n">
        <v>44687</v>
      </c>
      <c r="B303" s="6" t="s">
        <v>54</v>
      </c>
      <c r="C303" s="6" t="s">
        <v>33</v>
      </c>
      <c r="D303" s="6" t="s">
        <v>34</v>
      </c>
      <c r="E303" s="6" t="n">
        <f aca="false">IF($D303="",0,LEN($D303)-LEN(SUBSTITUTE($D303,",",""))+1)</f>
        <v>3</v>
      </c>
      <c r="F303" s="6"/>
    </row>
    <row r="304" customFormat="false" ht="15" hidden="false" customHeight="true" outlineLevel="0" collapsed="false">
      <c r="A304" s="5" t="n">
        <v>44687</v>
      </c>
      <c r="B304" s="6" t="s">
        <v>136</v>
      </c>
      <c r="C304" s="6" t="s">
        <v>33</v>
      </c>
      <c r="D304" s="6" t="s">
        <v>34</v>
      </c>
      <c r="E304" s="6" t="n">
        <f aca="false">IF($D304="",0,LEN($D304)-LEN(SUBSTITUTE($D304,",",""))+1)</f>
        <v>3</v>
      </c>
      <c r="F304" s="6"/>
    </row>
    <row r="305" customFormat="false" ht="15" hidden="false" customHeight="true" outlineLevel="0" collapsed="false">
      <c r="A305" s="5" t="n">
        <v>44687</v>
      </c>
      <c r="B305" s="6" t="s">
        <v>135</v>
      </c>
      <c r="C305" s="6" t="s">
        <v>21</v>
      </c>
      <c r="D305" s="6" t="s">
        <v>32</v>
      </c>
      <c r="E305" s="6" t="n">
        <f aca="false">IF($D305="",0,LEN($D305)-LEN(SUBSTITUTE($D305,",",""))+1)</f>
        <v>4</v>
      </c>
      <c r="F305" s="6"/>
    </row>
    <row r="306" customFormat="false" ht="15" hidden="false" customHeight="true" outlineLevel="0" collapsed="false">
      <c r="A306" s="5" t="n">
        <v>44695</v>
      </c>
      <c r="B306" s="6" t="s">
        <v>136</v>
      </c>
      <c r="C306" s="6" t="s">
        <v>22</v>
      </c>
      <c r="D306" s="6" t="s">
        <v>34</v>
      </c>
      <c r="E306" s="6" t="n">
        <f aca="false">IF($D306="",0,LEN($D306)-LEN(SUBSTITUTE($D306,",",""))+1)</f>
        <v>3</v>
      </c>
      <c r="F306" s="6"/>
    </row>
    <row r="307" customFormat="false" ht="15" hidden="false" customHeight="true" outlineLevel="0" collapsed="false">
      <c r="A307" s="5" t="n">
        <v>44695</v>
      </c>
      <c r="B307" s="6" t="s">
        <v>54</v>
      </c>
      <c r="C307" s="6" t="s">
        <v>21</v>
      </c>
      <c r="D307" s="6" t="s">
        <v>59</v>
      </c>
      <c r="E307" s="6" t="n">
        <f aca="false">IF($D307="",0,LEN($D307)-LEN(SUBSTITUTE($D307,",",""))+1)</f>
        <v>2</v>
      </c>
      <c r="F307" s="6"/>
    </row>
    <row r="308" customFormat="false" ht="15" hidden="false" customHeight="true" outlineLevel="0" collapsed="false">
      <c r="A308" s="5" t="n">
        <v>44695</v>
      </c>
      <c r="B308" s="6" t="s">
        <v>54</v>
      </c>
      <c r="C308" s="6" t="s">
        <v>33</v>
      </c>
      <c r="D308" s="6" t="s">
        <v>34</v>
      </c>
      <c r="E308" s="6" t="n">
        <f aca="false">IF($D308="",0,LEN($D308)-LEN(SUBSTITUTE($D308,",",""))+1)</f>
        <v>3</v>
      </c>
      <c r="F308" s="6"/>
    </row>
    <row r="309" customFormat="false" ht="15" hidden="false" customHeight="true" outlineLevel="0" collapsed="false">
      <c r="A309" s="5" t="n">
        <v>44695</v>
      </c>
      <c r="B309" s="6" t="s">
        <v>135</v>
      </c>
      <c r="C309" s="6" t="s">
        <v>22</v>
      </c>
      <c r="D309" s="6" t="s">
        <v>34</v>
      </c>
      <c r="E309" s="6" t="n">
        <f aca="false">IF($D309="",0,LEN($D309)-LEN(SUBSTITUTE($D309,",",""))+1)</f>
        <v>3</v>
      </c>
      <c r="F309" s="6"/>
    </row>
    <row r="310" customFormat="false" ht="15" hidden="false" customHeight="true" outlineLevel="0" collapsed="false">
      <c r="A310" s="5" t="n">
        <v>44703</v>
      </c>
      <c r="B310" s="6" t="s">
        <v>138</v>
      </c>
      <c r="C310" s="6" t="s">
        <v>33</v>
      </c>
      <c r="D310" s="6" t="s">
        <v>134</v>
      </c>
      <c r="E310" s="6" t="n">
        <f aca="false">IF($D310="",0,LEN($D310)-LEN(SUBSTITUTE($D310,",",""))+1)</f>
        <v>3</v>
      </c>
      <c r="F310" s="6"/>
    </row>
    <row r="311" customFormat="false" ht="15" hidden="false" customHeight="true" outlineLevel="0" collapsed="false">
      <c r="A311" s="5" t="n">
        <v>44703</v>
      </c>
      <c r="B311" s="6" t="s">
        <v>138</v>
      </c>
      <c r="C311" s="6" t="s">
        <v>33</v>
      </c>
      <c r="D311" s="6" t="s">
        <v>134</v>
      </c>
      <c r="E311" s="6" t="n">
        <f aca="false">IF($D311="",0,LEN($D311)-LEN(SUBSTITUTE($D311,",",""))+1)</f>
        <v>3</v>
      </c>
      <c r="F311" s="6"/>
    </row>
    <row r="312" customFormat="false" ht="15" hidden="false" customHeight="true" outlineLevel="0" collapsed="false">
      <c r="A312" s="5" t="n">
        <v>44703</v>
      </c>
      <c r="B312" s="6" t="s">
        <v>136</v>
      </c>
      <c r="C312" s="6" t="s">
        <v>33</v>
      </c>
      <c r="D312" s="6" t="s">
        <v>34</v>
      </c>
      <c r="E312" s="6" t="n">
        <f aca="false">IF($D312="",0,LEN($D312)-LEN(SUBSTITUTE($D312,",",""))+1)</f>
        <v>3</v>
      </c>
      <c r="F312" s="6"/>
    </row>
    <row r="313" customFormat="false" ht="15" hidden="false" customHeight="true" outlineLevel="0" collapsed="false">
      <c r="A313" s="5" t="n">
        <v>44708</v>
      </c>
      <c r="B313" s="6" t="s">
        <v>54</v>
      </c>
      <c r="C313" s="6" t="s">
        <v>33</v>
      </c>
      <c r="D313" s="6" t="s">
        <v>32</v>
      </c>
      <c r="E313" s="6" t="n">
        <f aca="false">IF($D313="",0,LEN($D313)-LEN(SUBSTITUTE($D313,",",""))+1)</f>
        <v>4</v>
      </c>
      <c r="F313" s="6"/>
    </row>
    <row r="314" customFormat="false" ht="15" hidden="false" customHeight="true" outlineLevel="0" collapsed="false">
      <c r="A314" s="5" t="n">
        <v>44708</v>
      </c>
      <c r="B314" s="6" t="s">
        <v>42</v>
      </c>
      <c r="C314" s="6" t="s">
        <v>21</v>
      </c>
      <c r="D314" s="6" t="s">
        <v>59</v>
      </c>
      <c r="E314" s="6" t="n">
        <f aca="false">IF($D314="",0,LEN($D314)-LEN(SUBSTITUTE($D314,",",""))+1)</f>
        <v>2</v>
      </c>
      <c r="F314" s="6" t="s">
        <v>139</v>
      </c>
    </row>
    <row r="315" customFormat="false" ht="15" hidden="false" customHeight="true" outlineLevel="0" collapsed="false">
      <c r="A315" s="5" t="n">
        <v>44820</v>
      </c>
      <c r="B315" s="6" t="s">
        <v>136</v>
      </c>
      <c r="C315" s="6" t="s">
        <v>21</v>
      </c>
      <c r="D315" s="6" t="s">
        <v>59</v>
      </c>
      <c r="E315" s="6" t="n">
        <f aca="false">IF($D315="",0,LEN($D315)-LEN(SUBSTITUTE($D315,",",""))+1)</f>
        <v>2</v>
      </c>
      <c r="F315" s="6"/>
    </row>
    <row r="316" customFormat="false" ht="15" hidden="false" customHeight="true" outlineLevel="0" collapsed="false">
      <c r="A316" s="5" t="n">
        <v>44828</v>
      </c>
      <c r="B316" s="6" t="s">
        <v>135</v>
      </c>
      <c r="C316" s="6" t="s">
        <v>21</v>
      </c>
      <c r="D316" s="6" t="s">
        <v>34</v>
      </c>
      <c r="E316" s="6" t="n">
        <f aca="false">IF($D316="",0,LEN($D316)-LEN(SUBSTITUTE($D316,",",""))+1)</f>
        <v>3</v>
      </c>
      <c r="F316" s="6"/>
    </row>
    <row r="317" customFormat="false" ht="15" hidden="false" customHeight="true" outlineLevel="0" collapsed="false">
      <c r="A317" s="5" t="n">
        <v>44828</v>
      </c>
      <c r="B317" s="6" t="s">
        <v>136</v>
      </c>
      <c r="C317" s="6" t="s">
        <v>33</v>
      </c>
      <c r="D317" s="6" t="s">
        <v>32</v>
      </c>
      <c r="E317" s="6" t="n">
        <f aca="false">IF($D317="",0,LEN($D317)-LEN(SUBSTITUTE($D317,",",""))+1)</f>
        <v>4</v>
      </c>
      <c r="F317" s="6"/>
    </row>
    <row r="318" customFormat="false" ht="15" hidden="false" customHeight="true" outlineLevel="0" collapsed="false">
      <c r="A318" s="5" t="n">
        <v>44862</v>
      </c>
      <c r="B318" s="6" t="s">
        <v>135</v>
      </c>
      <c r="C318" s="6" t="s">
        <v>22</v>
      </c>
      <c r="D318" s="6" t="s">
        <v>32</v>
      </c>
      <c r="E318" s="6" t="n">
        <f aca="false">IF($D318="",0,LEN($D318)-LEN(SUBSTITUTE($D318,",",""))+1)</f>
        <v>4</v>
      </c>
      <c r="F318" s="6"/>
    </row>
    <row r="319" customFormat="false" ht="15" hidden="false" customHeight="true" outlineLevel="0" collapsed="false">
      <c r="A319" s="5" t="n">
        <v>44862</v>
      </c>
      <c r="B319" s="6" t="s">
        <v>135</v>
      </c>
      <c r="C319" s="6" t="s">
        <v>33</v>
      </c>
      <c r="D319" s="6" t="s">
        <v>32</v>
      </c>
      <c r="E319" s="6" t="n">
        <f aca="false">IF($D319="",0,LEN($D319)-LEN(SUBSTITUTE($D319,",",""))+1)</f>
        <v>4</v>
      </c>
      <c r="F319" s="6"/>
    </row>
    <row r="320" customFormat="false" ht="15" hidden="false" customHeight="true" outlineLevel="0" collapsed="false">
      <c r="A320" s="5" t="n">
        <v>44862</v>
      </c>
      <c r="B320" s="6" t="s">
        <v>136</v>
      </c>
      <c r="C320" s="6" t="s">
        <v>33</v>
      </c>
      <c r="D320" s="6" t="s">
        <v>34</v>
      </c>
      <c r="E320" s="6" t="n">
        <f aca="false">IF($D320="",0,LEN($D320)-LEN(SUBSTITUTE($D320,",",""))+1)</f>
        <v>3</v>
      </c>
      <c r="F320" s="6"/>
    </row>
    <row r="321" customFormat="false" ht="15" hidden="false" customHeight="true" outlineLevel="0" collapsed="false">
      <c r="A321" s="5" t="n">
        <v>44876</v>
      </c>
      <c r="B321" s="6" t="s">
        <v>135</v>
      </c>
      <c r="C321" s="6" t="s">
        <v>33</v>
      </c>
      <c r="D321" s="6" t="s">
        <v>32</v>
      </c>
      <c r="E321" s="6" t="n">
        <f aca="false">IF($D321="",0,LEN($D321)-LEN(SUBSTITUTE($D321,",",""))+1)</f>
        <v>4</v>
      </c>
      <c r="F321" s="6"/>
    </row>
    <row r="322" customFormat="false" ht="15" hidden="false" customHeight="true" outlineLevel="0" collapsed="false">
      <c r="A322" s="5" t="n">
        <v>44876</v>
      </c>
      <c r="B322" s="6" t="s">
        <v>135</v>
      </c>
      <c r="C322" s="6" t="s">
        <v>21</v>
      </c>
      <c r="D322" s="6" t="s">
        <v>32</v>
      </c>
      <c r="E322" s="6" t="n">
        <f aca="false">IF($D322="",0,LEN($D322)-LEN(SUBSTITUTE($D322,",",""))+1)</f>
        <v>4</v>
      </c>
      <c r="F322" s="6"/>
    </row>
    <row r="323" customFormat="false" ht="15" hidden="false" customHeight="true" outlineLevel="0" collapsed="false">
      <c r="A323" s="5" t="n">
        <v>44876</v>
      </c>
      <c r="B323" s="6" t="s">
        <v>136</v>
      </c>
      <c r="C323" s="6" t="s">
        <v>33</v>
      </c>
      <c r="D323" s="6" t="s">
        <v>32</v>
      </c>
      <c r="E323" s="6" t="n">
        <f aca="false">IF($D323="",0,LEN($D323)-LEN(SUBSTITUTE($D323,",",""))+1)</f>
        <v>4</v>
      </c>
      <c r="F323" s="6"/>
    </row>
    <row r="324" customFormat="false" ht="15" hidden="false" customHeight="true" outlineLevel="0" collapsed="false">
      <c r="A324" s="5" t="n">
        <v>44918</v>
      </c>
      <c r="B324" s="6" t="s">
        <v>135</v>
      </c>
      <c r="C324" s="6" t="s">
        <v>22</v>
      </c>
      <c r="D324" s="6" t="s">
        <v>32</v>
      </c>
      <c r="E324" s="6" t="n">
        <f aca="false">IF($D324="",0,LEN($D324)-LEN(SUBSTITUTE($D324,",",""))+1)</f>
        <v>4</v>
      </c>
      <c r="F324" s="6"/>
    </row>
    <row r="325" customFormat="false" ht="15" hidden="false" customHeight="true" outlineLevel="0" collapsed="false">
      <c r="A325" s="5" t="n">
        <v>44918</v>
      </c>
      <c r="B325" s="6" t="s">
        <v>135</v>
      </c>
      <c r="C325" s="6" t="s">
        <v>21</v>
      </c>
      <c r="D325" s="6" t="s">
        <v>32</v>
      </c>
      <c r="E325" s="6" t="n">
        <f aca="false">IF($D325="",0,LEN($D325)-LEN(SUBSTITUTE($D325,",",""))+1)</f>
        <v>4</v>
      </c>
      <c r="F325" s="6"/>
    </row>
    <row r="326" customFormat="false" ht="15" hidden="false" customHeight="true" outlineLevel="0" collapsed="false">
      <c r="A326" s="5" t="n">
        <v>44918</v>
      </c>
      <c r="B326" s="6" t="s">
        <v>136</v>
      </c>
      <c r="C326" s="6" t="s">
        <v>21</v>
      </c>
      <c r="D326" s="6" t="s">
        <v>32</v>
      </c>
      <c r="E326" s="6" t="n">
        <f aca="false">IF($D326="",0,LEN($D326)-LEN(SUBSTITUTE($D326,",",""))+1)</f>
        <v>4</v>
      </c>
      <c r="F326" s="6"/>
    </row>
    <row r="327" customFormat="false" ht="15" hidden="false" customHeight="true" outlineLevel="0" collapsed="false">
      <c r="A327" s="5" t="n">
        <v>44923</v>
      </c>
      <c r="B327" s="6" t="s">
        <v>135</v>
      </c>
      <c r="C327" s="6" t="s">
        <v>33</v>
      </c>
      <c r="D327" s="6" t="s">
        <v>43</v>
      </c>
      <c r="E327" s="6" t="n">
        <f aca="false">IF($D327="",0,LEN($D327)-LEN(SUBSTITUTE($D327,",",""))+1)</f>
        <v>5</v>
      </c>
      <c r="F327" s="6"/>
    </row>
    <row r="328" customFormat="false" ht="15" hidden="false" customHeight="true" outlineLevel="0" collapsed="false">
      <c r="A328" s="5" t="n">
        <v>44923</v>
      </c>
      <c r="B328" s="6" t="s">
        <v>135</v>
      </c>
      <c r="C328" s="6" t="s">
        <v>21</v>
      </c>
      <c r="D328" s="6" t="s">
        <v>43</v>
      </c>
      <c r="E328" s="6" t="n">
        <f aca="false">IF($D328="",0,LEN($D328)-LEN(SUBSTITUTE($D328,",",""))+1)</f>
        <v>5</v>
      </c>
      <c r="F328" s="6"/>
    </row>
    <row r="329" customFormat="false" ht="15" hidden="false" customHeight="true" outlineLevel="0" collapsed="false">
      <c r="A329" s="5" t="n">
        <v>44923</v>
      </c>
      <c r="B329" s="6" t="s">
        <v>136</v>
      </c>
      <c r="C329" s="6" t="s">
        <v>21</v>
      </c>
      <c r="D329" s="6" t="s">
        <v>32</v>
      </c>
      <c r="E329" s="6" t="n">
        <f aca="false">IF($D329="",0,LEN($D329)-LEN(SUBSTITUTE($D329,",",""))+1)</f>
        <v>4</v>
      </c>
      <c r="F329" s="6"/>
    </row>
    <row r="330" customFormat="false" ht="15" hidden="false" customHeight="true" outlineLevel="0" collapsed="false">
      <c r="A330" s="5" t="n">
        <v>44932</v>
      </c>
      <c r="B330" s="6" t="s">
        <v>136</v>
      </c>
      <c r="C330" s="6" t="s">
        <v>21</v>
      </c>
      <c r="D330" s="6" t="s">
        <v>43</v>
      </c>
      <c r="E330" s="6" t="n">
        <f aca="false">IF($D330="",0,LEN($D330)-LEN(SUBSTITUTE($D330,",",""))+1)</f>
        <v>5</v>
      </c>
      <c r="F330" s="6"/>
    </row>
    <row r="331" customFormat="false" ht="15" hidden="false" customHeight="true" outlineLevel="0" collapsed="false">
      <c r="A331" s="5" t="n">
        <v>44953</v>
      </c>
      <c r="B331" s="6" t="s">
        <v>54</v>
      </c>
      <c r="C331" s="6" t="s">
        <v>22</v>
      </c>
      <c r="D331" s="6" t="s">
        <v>34</v>
      </c>
      <c r="E331" s="6" t="n">
        <f aca="false">IF($D331="",0,LEN($D331)-LEN(SUBSTITUTE($D331,",",""))+1)</f>
        <v>3</v>
      </c>
      <c r="F331" s="6"/>
    </row>
    <row r="332" customFormat="false" ht="15" hidden="false" customHeight="true" outlineLevel="0" collapsed="false">
      <c r="A332" s="5" t="n">
        <v>44953</v>
      </c>
      <c r="B332" s="6" t="s">
        <v>136</v>
      </c>
      <c r="C332" s="6" t="s">
        <v>21</v>
      </c>
      <c r="D332" s="6" t="s">
        <v>32</v>
      </c>
      <c r="E332" s="6" t="n">
        <f aca="false">IF($D332="",0,LEN($D332)-LEN(SUBSTITUTE($D332,",",""))+1)</f>
        <v>4</v>
      </c>
      <c r="F332" s="6"/>
    </row>
    <row r="333" customFormat="false" ht="15" hidden="false" customHeight="true" outlineLevel="0" collapsed="false">
      <c r="A333" s="5" t="n">
        <v>44960</v>
      </c>
      <c r="B333" s="6" t="s">
        <v>27</v>
      </c>
      <c r="C333" s="6" t="s">
        <v>21</v>
      </c>
      <c r="D333" s="6" t="s">
        <v>34</v>
      </c>
      <c r="E333" s="6" t="n">
        <f aca="false">IF($D333="",0,LEN($D333)-LEN(SUBSTITUTE($D333,",",""))+1)</f>
        <v>3</v>
      </c>
      <c r="F333" s="6"/>
    </row>
    <row r="334" customFormat="false" ht="15" hidden="false" customHeight="true" outlineLevel="0" collapsed="false">
      <c r="A334" s="5" t="n">
        <v>44968</v>
      </c>
      <c r="B334" s="6" t="s">
        <v>54</v>
      </c>
      <c r="C334" s="6" t="s">
        <v>33</v>
      </c>
      <c r="D334" s="6" t="s">
        <v>59</v>
      </c>
      <c r="E334" s="6" t="n">
        <f aca="false">IF($D334="",0,LEN($D334)-LEN(SUBSTITUTE($D334,",",""))+1)</f>
        <v>2</v>
      </c>
      <c r="F334" s="6"/>
    </row>
    <row r="335" customFormat="false" ht="15" hidden="false" customHeight="true" outlineLevel="0" collapsed="false">
      <c r="A335" s="5" t="n">
        <v>44968</v>
      </c>
      <c r="B335" s="6" t="s">
        <v>136</v>
      </c>
      <c r="C335" s="6" t="s">
        <v>21</v>
      </c>
      <c r="D335" s="6" t="s">
        <v>32</v>
      </c>
      <c r="E335" s="6" t="n">
        <f aca="false">IF($D335="",0,LEN($D335)-LEN(SUBSTITUTE($D335,",",""))+1)</f>
        <v>4</v>
      </c>
      <c r="F335" s="6"/>
    </row>
    <row r="336" customFormat="false" ht="15" hidden="false" customHeight="true" outlineLevel="0" collapsed="false">
      <c r="A336" s="5" t="n">
        <v>44976</v>
      </c>
      <c r="B336" s="6" t="s">
        <v>137</v>
      </c>
      <c r="C336" s="6" t="s">
        <v>21</v>
      </c>
      <c r="D336" s="6" t="s">
        <v>34</v>
      </c>
      <c r="E336" s="6" t="n">
        <f aca="false">IF($D336="",0,LEN($D336)-LEN(SUBSTITUTE($D336,",",""))+1)</f>
        <v>3</v>
      </c>
      <c r="F336" s="6"/>
    </row>
    <row r="337" customFormat="false" ht="15" hidden="false" customHeight="true" outlineLevel="0" collapsed="false">
      <c r="A337" s="5" t="n">
        <v>44976</v>
      </c>
      <c r="B337" s="6" t="s">
        <v>137</v>
      </c>
      <c r="C337" s="6" t="s">
        <v>21</v>
      </c>
      <c r="D337" s="6" t="s">
        <v>34</v>
      </c>
      <c r="E337" s="6" t="n">
        <f aca="false">IF($D337="",0,LEN($D337)-LEN(SUBSTITUTE($D337,",",""))+1)</f>
        <v>3</v>
      </c>
      <c r="F337" s="6"/>
    </row>
    <row r="338" customFormat="false" ht="15" hidden="false" customHeight="true" outlineLevel="0" collapsed="false">
      <c r="A338" s="5" t="n">
        <v>44976</v>
      </c>
      <c r="B338" s="6" t="s">
        <v>136</v>
      </c>
      <c r="C338" s="6" t="s">
        <v>33</v>
      </c>
      <c r="D338" s="6" t="s">
        <v>34</v>
      </c>
      <c r="E338" s="6" t="n">
        <f aca="false">IF($D338="",0,LEN($D338)-LEN(SUBSTITUTE($D338,",",""))+1)</f>
        <v>3</v>
      </c>
      <c r="F338" s="6"/>
    </row>
    <row r="339" customFormat="false" ht="15" hidden="false" customHeight="true" outlineLevel="0" collapsed="false">
      <c r="A339" s="5" t="n">
        <v>44981</v>
      </c>
      <c r="B339" s="6" t="s">
        <v>137</v>
      </c>
      <c r="C339" s="6" t="s">
        <v>33</v>
      </c>
      <c r="D339" s="6" t="s">
        <v>34</v>
      </c>
      <c r="E339" s="6" t="n">
        <f aca="false">IF($D339="",0,LEN($D339)-LEN(SUBSTITUTE($D339,",",""))+1)</f>
        <v>3</v>
      </c>
      <c r="F339" s="6"/>
    </row>
    <row r="340" customFormat="false" ht="15" hidden="false" customHeight="true" outlineLevel="0" collapsed="false">
      <c r="A340" s="5" t="n">
        <v>44995</v>
      </c>
      <c r="B340" s="6" t="s">
        <v>140</v>
      </c>
      <c r="C340" s="6" t="s">
        <v>21</v>
      </c>
      <c r="D340" s="6" t="s">
        <v>32</v>
      </c>
      <c r="E340" s="6" t="n">
        <f aca="false">IF($D340="",0,LEN($D340)-LEN(SUBSTITUTE($D340,",",""))+1)</f>
        <v>4</v>
      </c>
      <c r="F340" s="6"/>
    </row>
    <row r="341" customFormat="false" ht="15" hidden="false" customHeight="true" outlineLevel="0" collapsed="false">
      <c r="A341" s="5" t="n">
        <v>45002</v>
      </c>
      <c r="B341" s="6" t="s">
        <v>42</v>
      </c>
      <c r="C341" s="6" t="s">
        <v>22</v>
      </c>
      <c r="D341" s="6" t="s">
        <v>32</v>
      </c>
      <c r="E341" s="6" t="n">
        <f aca="false">IF($D341="",0,LEN($D341)-LEN(SUBSTITUTE($D341,",",""))+1)</f>
        <v>4</v>
      </c>
      <c r="F341" s="6"/>
    </row>
    <row r="342" customFormat="false" ht="15" hidden="false" customHeight="true" outlineLevel="0" collapsed="false">
      <c r="A342" s="5" t="n">
        <v>45003</v>
      </c>
      <c r="B342" s="6" t="s">
        <v>140</v>
      </c>
      <c r="C342" s="6" t="s">
        <v>21</v>
      </c>
      <c r="D342" s="6" t="s">
        <v>34</v>
      </c>
      <c r="E342" s="6" t="n">
        <f aca="false">IF($D342="",0,LEN($D342)-LEN(SUBSTITUTE($D342,",",""))+1)</f>
        <v>3</v>
      </c>
      <c r="F342" s="6"/>
    </row>
    <row r="343" customFormat="false" ht="15" hidden="false" customHeight="true" outlineLevel="0" collapsed="false">
      <c r="A343" s="5" t="n">
        <v>45022</v>
      </c>
      <c r="B343" s="6" t="s">
        <v>42</v>
      </c>
      <c r="C343" s="6" t="s">
        <v>21</v>
      </c>
      <c r="D343" s="6" t="s">
        <v>56</v>
      </c>
      <c r="E343" s="6" t="n">
        <f aca="false">IF($D343="",0,LEN($D343)-LEN(SUBSTITUTE($D343,",",""))+1)</f>
        <v>3</v>
      </c>
      <c r="F343" s="6" t="s">
        <v>141</v>
      </c>
    </row>
    <row r="344" customFormat="false" ht="15" hidden="false" customHeight="true" outlineLevel="0" collapsed="false">
      <c r="A344" s="5" t="n">
        <v>45022</v>
      </c>
      <c r="B344" s="6" t="s">
        <v>42</v>
      </c>
      <c r="C344" s="6" t="s">
        <v>21</v>
      </c>
      <c r="D344" s="6" t="s">
        <v>32</v>
      </c>
      <c r="E344" s="6" t="n">
        <f aca="false">IF($D344="",0,LEN($D344)-LEN(SUBSTITUTE($D344,",",""))+1)</f>
        <v>4</v>
      </c>
      <c r="F344" s="6"/>
    </row>
    <row r="345" customFormat="false" ht="15" hidden="false" customHeight="true" outlineLevel="0" collapsed="false">
      <c r="A345" s="5" t="n">
        <v>45051</v>
      </c>
      <c r="B345" s="6" t="s">
        <v>114</v>
      </c>
      <c r="C345" s="6" t="s">
        <v>35</v>
      </c>
      <c r="D345" s="6" t="s">
        <v>56</v>
      </c>
      <c r="E345" s="6" t="n">
        <f aca="false">IF($D345="",0,LEN($D345)-LEN(SUBSTITUTE($D345,",",""))+1)</f>
        <v>3</v>
      </c>
      <c r="F345" s="6" t="s">
        <v>117</v>
      </c>
    </row>
    <row r="346" customFormat="false" ht="15" hidden="false" customHeight="true" outlineLevel="0" collapsed="false">
      <c r="A346" s="5" t="n">
        <v>45051</v>
      </c>
      <c r="B346" s="6" t="s">
        <v>42</v>
      </c>
      <c r="C346" s="6" t="s">
        <v>35</v>
      </c>
      <c r="D346" s="6" t="s">
        <v>56</v>
      </c>
      <c r="E346" s="6" t="n">
        <f aca="false">IF($D346="",0,LEN($D346)-LEN(SUBSTITUTE($D346,",",""))+1)</f>
        <v>3</v>
      </c>
      <c r="F346" s="6"/>
    </row>
    <row r="347" customFormat="false" ht="15" hidden="false" customHeight="true" outlineLevel="0" collapsed="false">
      <c r="A347" s="5" t="n">
        <v>45065</v>
      </c>
      <c r="B347" s="6" t="s">
        <v>140</v>
      </c>
      <c r="C347" s="6" t="s">
        <v>22</v>
      </c>
      <c r="D347" s="6" t="s">
        <v>142</v>
      </c>
      <c r="E347" s="6" t="n">
        <f aca="false">IF($D347="",0,LEN($D347)-LEN(SUBSTITUTE($D347,",",""))+1)</f>
        <v>4</v>
      </c>
      <c r="F347" s="6" t="s">
        <v>143</v>
      </c>
    </row>
    <row r="348" customFormat="false" ht="15" hidden="false" customHeight="true" outlineLevel="0" collapsed="false">
      <c r="A348" s="5" t="n">
        <v>45067</v>
      </c>
      <c r="B348" s="6" t="s">
        <v>136</v>
      </c>
      <c r="C348" s="6" t="s">
        <v>33</v>
      </c>
      <c r="D348" s="6" t="s">
        <v>34</v>
      </c>
      <c r="E348" s="6" t="n">
        <f aca="false">IF($D348="",0,LEN($D348)-LEN(SUBSTITUTE($D348,",",""))+1)</f>
        <v>3</v>
      </c>
      <c r="F348" s="6"/>
    </row>
    <row r="349" customFormat="false" ht="15" hidden="false" customHeight="true" outlineLevel="0" collapsed="false">
      <c r="A349" s="5" t="n">
        <v>45072</v>
      </c>
      <c r="B349" s="6" t="s">
        <v>140</v>
      </c>
      <c r="C349" s="6" t="s">
        <v>21</v>
      </c>
      <c r="D349" s="6" t="s">
        <v>34</v>
      </c>
      <c r="E349" s="6" t="n">
        <f aca="false">IF($D349="",0,LEN($D349)-LEN(SUBSTITUTE($D349,",",""))+1)</f>
        <v>3</v>
      </c>
      <c r="F349" s="6" t="s">
        <v>144</v>
      </c>
    </row>
    <row r="350" customFormat="false" ht="15" hidden="false" customHeight="true" outlineLevel="0" collapsed="false">
      <c r="A350" s="5" t="n">
        <v>45120</v>
      </c>
      <c r="B350" s="6" t="s">
        <v>30</v>
      </c>
      <c r="C350" s="6" t="s">
        <v>35</v>
      </c>
      <c r="D350" s="6" t="s">
        <v>43</v>
      </c>
      <c r="E350" s="6" t="n">
        <f aca="false">IF($D350="",0,LEN($D350)-LEN(SUBSTITUTE($D350,",",""))+1)</f>
        <v>5</v>
      </c>
      <c r="F350" s="6"/>
    </row>
    <row r="351" customFormat="false" ht="15" hidden="false" customHeight="true" outlineLevel="0" collapsed="false">
      <c r="A351" s="5" t="n">
        <v>45120</v>
      </c>
      <c r="B351" s="6" t="s">
        <v>30</v>
      </c>
      <c r="C351" s="6" t="s">
        <v>52</v>
      </c>
      <c r="D351" s="6" t="s">
        <v>145</v>
      </c>
      <c r="E351" s="6" t="n">
        <f aca="false">IF($D351="",0,LEN($D351)-LEN(SUBSTITUTE($D351,",",""))+1)</f>
        <v>4</v>
      </c>
      <c r="F351" s="6"/>
    </row>
    <row r="352" customFormat="false" ht="15" hidden="false" customHeight="true" outlineLevel="0" collapsed="false">
      <c r="A352" s="5" t="n">
        <v>45134</v>
      </c>
      <c r="B352" s="6" t="s">
        <v>30</v>
      </c>
      <c r="C352" s="6" t="s">
        <v>22</v>
      </c>
      <c r="D352" s="6" t="s">
        <v>34</v>
      </c>
      <c r="E352" s="6" t="n">
        <f aca="false">IF($D352="",0,LEN($D352)-LEN(SUBSTITUTE($D352,",",""))+1)</f>
        <v>3</v>
      </c>
      <c r="F352" s="6"/>
    </row>
    <row r="353" customFormat="false" ht="15" hidden="false" customHeight="true" outlineLevel="0" collapsed="false">
      <c r="A353" s="5" t="n">
        <v>45134</v>
      </c>
      <c r="B353" s="6" t="s">
        <v>137</v>
      </c>
      <c r="C353" s="6" t="s">
        <v>33</v>
      </c>
      <c r="D353" s="6" t="s">
        <v>59</v>
      </c>
      <c r="E353" s="6" t="n">
        <f aca="false">IF($D353="",0,LEN($D353)-LEN(SUBSTITUTE($D353,",",""))+1)</f>
        <v>2</v>
      </c>
      <c r="F353" s="6"/>
    </row>
    <row r="354" customFormat="false" ht="15" hidden="false" customHeight="true" outlineLevel="0" collapsed="false">
      <c r="A354" s="5" t="n">
        <v>45134</v>
      </c>
      <c r="B354" s="6" t="s">
        <v>54</v>
      </c>
      <c r="C354" s="6" t="s">
        <v>21</v>
      </c>
      <c r="D354" s="6" t="s">
        <v>43</v>
      </c>
      <c r="E354" s="6" t="n">
        <f aca="false">IF($D354="",0,LEN($D354)-LEN(SUBSTITUTE($D354,",",""))+1)</f>
        <v>5</v>
      </c>
      <c r="F354" s="6"/>
    </row>
    <row r="355" customFormat="false" ht="15" hidden="false" customHeight="true" outlineLevel="0" collapsed="false">
      <c r="A355" s="5" t="n">
        <v>45141</v>
      </c>
      <c r="B355" s="6" t="s">
        <v>137</v>
      </c>
      <c r="C355" s="6" t="s">
        <v>21</v>
      </c>
      <c r="D355" s="6" t="s">
        <v>34</v>
      </c>
      <c r="E355" s="6" t="n">
        <f aca="false">IF($D355="",0,LEN($D355)-LEN(SUBSTITUTE($D355,",",""))+1)</f>
        <v>3</v>
      </c>
      <c r="F355" s="6"/>
    </row>
    <row r="356" customFormat="false" ht="15" hidden="false" customHeight="true" outlineLevel="0" collapsed="false">
      <c r="A356" s="5" t="n">
        <v>45141</v>
      </c>
      <c r="B356" s="6" t="s">
        <v>146</v>
      </c>
      <c r="C356" s="6" t="s">
        <v>22</v>
      </c>
      <c r="D356" s="6" t="s">
        <v>34</v>
      </c>
      <c r="E356" s="6" t="n">
        <f aca="false">IF($D356="",0,LEN($D356)-LEN(SUBSTITUTE($D356,",",""))+1)</f>
        <v>3</v>
      </c>
      <c r="F356" s="6" t="s">
        <v>147</v>
      </c>
    </row>
    <row r="357" customFormat="false" ht="15" hidden="false" customHeight="true" outlineLevel="0" collapsed="false">
      <c r="A357" s="5" t="n">
        <v>45141</v>
      </c>
      <c r="B357" s="6" t="s">
        <v>30</v>
      </c>
      <c r="C357" s="6" t="s">
        <v>33</v>
      </c>
      <c r="D357" s="6" t="s">
        <v>34</v>
      </c>
      <c r="E357" s="6" t="n">
        <f aca="false">IF($D357="",0,LEN($D357)-LEN(SUBSTITUTE($D357,",",""))+1)</f>
        <v>3</v>
      </c>
      <c r="F357" s="6"/>
    </row>
    <row r="358" customFormat="false" ht="15" hidden="false" customHeight="true" outlineLevel="0" collapsed="false">
      <c r="A358" s="5" t="n">
        <v>45141</v>
      </c>
      <c r="B358" s="6" t="s">
        <v>30</v>
      </c>
      <c r="C358" s="6" t="s">
        <v>21</v>
      </c>
      <c r="D358" s="6" t="s">
        <v>34</v>
      </c>
      <c r="E358" s="6" t="n">
        <f aca="false">IF($D358="",0,LEN($D358)-LEN(SUBSTITUTE($D358,",",""))+1)</f>
        <v>3</v>
      </c>
      <c r="F358" s="6"/>
    </row>
    <row r="359" customFormat="false" ht="15" hidden="false" customHeight="true" outlineLevel="0" collapsed="false">
      <c r="A359" s="5" t="n">
        <v>45141</v>
      </c>
      <c r="B359" s="6" t="s">
        <v>30</v>
      </c>
      <c r="C359" s="6" t="s">
        <v>33</v>
      </c>
      <c r="D359" s="6" t="s">
        <v>34</v>
      </c>
      <c r="E359" s="6" t="n">
        <f aca="false">IF($D359="",0,LEN($D359)-LEN(SUBSTITUTE($D359,",",""))+1)</f>
        <v>3</v>
      </c>
      <c r="F359" s="6"/>
    </row>
    <row r="360" customFormat="false" ht="15" hidden="false" customHeight="true" outlineLevel="0" collapsed="false">
      <c r="A360" s="5" t="n">
        <v>45142</v>
      </c>
      <c r="B360" s="6" t="s">
        <v>138</v>
      </c>
      <c r="C360" s="6" t="s">
        <v>33</v>
      </c>
      <c r="D360" s="6" t="s">
        <v>59</v>
      </c>
      <c r="E360" s="6" t="n">
        <f aca="false">IF($D360="",0,LEN($D360)-LEN(SUBSTITUTE($D360,",",""))+1)</f>
        <v>2</v>
      </c>
      <c r="F360" s="6"/>
    </row>
    <row r="361" customFormat="false" ht="15" hidden="false" customHeight="true" outlineLevel="0" collapsed="false">
      <c r="A361" s="5" t="n">
        <v>45142</v>
      </c>
      <c r="B361" s="6" t="s">
        <v>54</v>
      </c>
      <c r="C361" s="6" t="s">
        <v>33</v>
      </c>
      <c r="D361" s="6" t="s">
        <v>59</v>
      </c>
      <c r="E361" s="6" t="n">
        <f aca="false">IF($D361="",0,LEN($D361)-LEN(SUBSTITUTE($D361,",",""))+1)</f>
        <v>2</v>
      </c>
      <c r="F361" s="6"/>
    </row>
    <row r="362" customFormat="false" ht="15" hidden="false" customHeight="true" outlineLevel="0" collapsed="false">
      <c r="A362" s="5" t="n">
        <v>45142</v>
      </c>
      <c r="B362" s="6" t="s">
        <v>54</v>
      </c>
      <c r="C362" s="6" t="s">
        <v>21</v>
      </c>
      <c r="D362" s="6" t="s">
        <v>59</v>
      </c>
      <c r="E362" s="6" t="n">
        <f aca="false">IF($D362="",0,LEN($D362)-LEN(SUBSTITUTE($D362,",",""))+1)</f>
        <v>2</v>
      </c>
      <c r="F362" s="6"/>
    </row>
    <row r="363" customFormat="false" ht="15" hidden="false" customHeight="true" outlineLevel="0" collapsed="false">
      <c r="A363" s="5" t="n">
        <v>45142</v>
      </c>
      <c r="B363" s="6" t="s">
        <v>54</v>
      </c>
      <c r="C363" s="6" t="s">
        <v>21</v>
      </c>
      <c r="D363" s="6" t="s">
        <v>34</v>
      </c>
      <c r="E363" s="6" t="n">
        <f aca="false">IF($D363="",0,LEN($D363)-LEN(SUBSTITUTE($D363,",",""))+1)</f>
        <v>3</v>
      </c>
      <c r="F363" s="6"/>
    </row>
    <row r="364" customFormat="false" ht="15" hidden="false" customHeight="true" outlineLevel="0" collapsed="false">
      <c r="A364" s="5" t="n">
        <v>45143</v>
      </c>
      <c r="B364" s="6" t="s">
        <v>137</v>
      </c>
      <c r="C364" s="6" t="s">
        <v>22</v>
      </c>
      <c r="D364" s="6" t="s">
        <v>34</v>
      </c>
      <c r="E364" s="6" t="n">
        <f aca="false">IF($D364="",0,LEN($D364)-LEN(SUBSTITUTE($D364,",",""))+1)</f>
        <v>3</v>
      </c>
      <c r="F364" s="6"/>
    </row>
    <row r="365" customFormat="false" ht="15" hidden="false" customHeight="true" outlineLevel="0" collapsed="false">
      <c r="A365" s="5" t="n">
        <v>45143</v>
      </c>
      <c r="B365" s="6" t="s">
        <v>30</v>
      </c>
      <c r="C365" s="6" t="s">
        <v>33</v>
      </c>
      <c r="D365" s="6" t="s">
        <v>34</v>
      </c>
      <c r="E365" s="6" t="n">
        <f aca="false">IF($D365="",0,LEN($D365)-LEN(SUBSTITUTE($D365,",",""))+1)</f>
        <v>3</v>
      </c>
      <c r="F365" s="6"/>
    </row>
    <row r="366" customFormat="false" ht="15" hidden="false" customHeight="true" outlineLevel="0" collapsed="false">
      <c r="A366" s="5" t="n">
        <v>45143</v>
      </c>
      <c r="B366" s="6" t="s">
        <v>30</v>
      </c>
      <c r="C366" s="6" t="s">
        <v>21</v>
      </c>
      <c r="D366" s="6" t="s">
        <v>59</v>
      </c>
      <c r="E366" s="6" t="n">
        <f aca="false">IF($D366="",0,LEN($D366)-LEN(SUBSTITUTE($D366,",",""))+1)</f>
        <v>2</v>
      </c>
      <c r="F366" s="6"/>
    </row>
    <row r="367" customFormat="false" ht="15" hidden="false" customHeight="true" outlineLevel="0" collapsed="false">
      <c r="A367" s="5" t="n">
        <v>45143</v>
      </c>
      <c r="B367" s="6" t="s">
        <v>54</v>
      </c>
      <c r="C367" s="6" t="s">
        <v>33</v>
      </c>
      <c r="D367" s="6" t="s">
        <v>59</v>
      </c>
      <c r="E367" s="6" t="n">
        <f aca="false">IF($D367="",0,LEN($D367)-LEN(SUBSTITUTE($D367,",",""))+1)</f>
        <v>2</v>
      </c>
      <c r="F367" s="6" t="s">
        <v>148</v>
      </c>
    </row>
    <row r="368" customFormat="false" ht="15" hidden="false" customHeight="true" outlineLevel="0" collapsed="false">
      <c r="A368" s="5" t="n">
        <v>45143</v>
      </c>
      <c r="B368" s="6" t="s">
        <v>149</v>
      </c>
      <c r="C368" s="6" t="s">
        <v>33</v>
      </c>
      <c r="D368" s="6" t="s">
        <v>59</v>
      </c>
      <c r="E368" s="6" t="n">
        <f aca="false">IF($D368="",0,LEN($D368)-LEN(SUBSTITUTE($D368,",",""))+1)</f>
        <v>2</v>
      </c>
      <c r="F368" s="6"/>
    </row>
    <row r="369" customFormat="false" ht="15" hidden="false" customHeight="true" outlineLevel="0" collapsed="false">
      <c r="A369" s="5" t="n">
        <v>45143</v>
      </c>
      <c r="B369" s="6" t="s">
        <v>54</v>
      </c>
      <c r="C369" s="6" t="s">
        <v>33</v>
      </c>
      <c r="D369" s="6" t="s">
        <v>59</v>
      </c>
      <c r="E369" s="6" t="n">
        <f aca="false">IF($D369="",0,LEN($D369)-LEN(SUBSTITUTE($D369,",",""))+1)</f>
        <v>2</v>
      </c>
      <c r="F369" s="6"/>
    </row>
    <row r="370" customFormat="false" ht="15" hidden="false" customHeight="true" outlineLevel="0" collapsed="false">
      <c r="A370" s="5" t="n">
        <v>45143</v>
      </c>
      <c r="B370" s="6" t="s">
        <v>54</v>
      </c>
      <c r="C370" s="6" t="s">
        <v>21</v>
      </c>
      <c r="D370" s="6" t="s">
        <v>59</v>
      </c>
      <c r="E370" s="6" t="n">
        <f aca="false">IF($D370="",0,LEN($D370)-LEN(SUBSTITUTE($D370,",",""))+1)</f>
        <v>2</v>
      </c>
      <c r="F370" s="6"/>
    </row>
    <row r="371" customFormat="false" ht="15" hidden="false" customHeight="true" outlineLevel="0" collapsed="false">
      <c r="A371" s="5" t="n">
        <v>45150</v>
      </c>
      <c r="B371" s="6" t="s">
        <v>137</v>
      </c>
      <c r="C371" s="6" t="s">
        <v>21</v>
      </c>
      <c r="D371" s="6" t="s">
        <v>34</v>
      </c>
      <c r="E371" s="6" t="n">
        <f aca="false">IF($D371="",0,LEN($D371)-LEN(SUBSTITUTE($D371,",",""))+1)</f>
        <v>3</v>
      </c>
      <c r="F371" s="6"/>
    </row>
    <row r="372" customFormat="false" ht="15" hidden="false" customHeight="true" outlineLevel="0" collapsed="false">
      <c r="A372" s="5" t="n">
        <v>45150</v>
      </c>
      <c r="B372" s="6" t="s">
        <v>30</v>
      </c>
      <c r="C372" s="6" t="s">
        <v>21</v>
      </c>
      <c r="D372" s="6" t="s">
        <v>34</v>
      </c>
      <c r="E372" s="6" t="n">
        <f aca="false">IF($D372="",0,LEN($D372)-LEN(SUBSTITUTE($D372,",",""))+1)</f>
        <v>3</v>
      </c>
      <c r="F372" s="6"/>
    </row>
    <row r="373" customFormat="false" ht="15" hidden="false" customHeight="true" outlineLevel="0" collapsed="false">
      <c r="A373" s="5" t="n">
        <v>45150</v>
      </c>
      <c r="B373" s="6" t="s">
        <v>30</v>
      </c>
      <c r="C373" s="6" t="s">
        <v>33</v>
      </c>
      <c r="D373" s="6" t="s">
        <v>59</v>
      </c>
      <c r="E373" s="6" t="n">
        <f aca="false">IF($D373="",0,LEN($D373)-LEN(SUBSTITUTE($D373,",",""))+1)</f>
        <v>2</v>
      </c>
      <c r="F373" s="6"/>
    </row>
    <row r="374" customFormat="false" ht="15" hidden="false" customHeight="true" outlineLevel="0" collapsed="false">
      <c r="A374" s="5" t="n">
        <v>45150</v>
      </c>
      <c r="B374" s="6" t="s">
        <v>138</v>
      </c>
      <c r="C374" s="6" t="s">
        <v>21</v>
      </c>
      <c r="D374" s="6" t="s">
        <v>34</v>
      </c>
      <c r="E374" s="6" t="n">
        <f aca="false">IF($D374="",0,LEN($D374)-LEN(SUBSTITUTE($D374,",",""))+1)</f>
        <v>3</v>
      </c>
      <c r="F374" s="6"/>
    </row>
    <row r="375" customFormat="false" ht="15" hidden="false" customHeight="true" outlineLevel="0" collapsed="false">
      <c r="A375" s="5" t="n">
        <v>45157</v>
      </c>
      <c r="B375" s="6" t="s">
        <v>30</v>
      </c>
      <c r="C375" s="6" t="s">
        <v>33</v>
      </c>
      <c r="D375" s="6" t="s">
        <v>43</v>
      </c>
      <c r="E375" s="6" t="n">
        <f aca="false">IF($D375="",0,LEN($D375)-LEN(SUBSTITUTE($D375,",",""))+1)</f>
        <v>5</v>
      </c>
      <c r="F375" s="6"/>
    </row>
    <row r="376" customFormat="false" ht="15" hidden="false" customHeight="true" outlineLevel="0" collapsed="false">
      <c r="A376" s="5" t="n">
        <v>45157</v>
      </c>
      <c r="B376" s="6" t="s">
        <v>30</v>
      </c>
      <c r="C376" s="6" t="s">
        <v>35</v>
      </c>
      <c r="D376" s="6" t="s">
        <v>56</v>
      </c>
      <c r="E376" s="6" t="n">
        <f aca="false">IF($D376="",0,LEN($D376)-LEN(SUBSTITUTE($D376,",",""))+1)</f>
        <v>3</v>
      </c>
      <c r="F376" s="6"/>
    </row>
    <row r="377" customFormat="false" ht="15" hidden="false" customHeight="true" outlineLevel="0" collapsed="false">
      <c r="A377" s="5" t="n">
        <v>45157</v>
      </c>
      <c r="B377" s="6" t="s">
        <v>30</v>
      </c>
      <c r="C377" s="6" t="s">
        <v>33</v>
      </c>
      <c r="D377" s="6" t="s">
        <v>56</v>
      </c>
      <c r="E377" s="6" t="n">
        <f aca="false">IF($D377="",0,LEN($D377)-LEN(SUBSTITUTE($D377,",",""))+1)</f>
        <v>3</v>
      </c>
      <c r="F377" s="6"/>
    </row>
    <row r="378" customFormat="false" ht="15" hidden="false" customHeight="true" outlineLevel="0" collapsed="false">
      <c r="A378" s="5" t="n">
        <v>45157</v>
      </c>
      <c r="B378" s="6" t="s">
        <v>30</v>
      </c>
      <c r="C378" s="6" t="s">
        <v>21</v>
      </c>
      <c r="D378" s="6" t="s">
        <v>56</v>
      </c>
      <c r="E378" s="6" t="n">
        <f aca="false">IF($D378="",0,LEN($D378)-LEN(SUBSTITUTE($D378,",",""))+1)</f>
        <v>3</v>
      </c>
      <c r="F378" s="6"/>
    </row>
    <row r="379" customFormat="false" ht="15" hidden="false" customHeight="true" outlineLevel="0" collapsed="false">
      <c r="A379" s="5" t="n">
        <v>45157</v>
      </c>
      <c r="B379" s="6" t="s">
        <v>30</v>
      </c>
      <c r="C379" s="6" t="s">
        <v>35</v>
      </c>
      <c r="D379" s="6" t="s">
        <v>32</v>
      </c>
      <c r="E379" s="6" t="n">
        <f aca="false">IF($D379="",0,LEN($D379)-LEN(SUBSTITUTE($D379,",",""))+1)</f>
        <v>4</v>
      </c>
      <c r="F379" s="6"/>
    </row>
    <row r="380" customFormat="false" ht="15" hidden="false" customHeight="true" outlineLevel="0" collapsed="false">
      <c r="A380" s="5" t="n">
        <v>45158</v>
      </c>
      <c r="B380" s="6" t="s">
        <v>140</v>
      </c>
      <c r="C380" s="6" t="s">
        <v>21</v>
      </c>
      <c r="D380" s="6" t="s">
        <v>43</v>
      </c>
      <c r="E380" s="6" t="n">
        <f aca="false">IF($D380="",0,LEN($D380)-LEN(SUBSTITUTE($D380,",",""))+1)</f>
        <v>5</v>
      </c>
      <c r="F380" s="6"/>
    </row>
    <row r="381" customFormat="false" ht="15" hidden="false" customHeight="true" outlineLevel="0" collapsed="false">
      <c r="A381" s="5" t="n">
        <v>45161</v>
      </c>
      <c r="B381" s="6" t="s">
        <v>30</v>
      </c>
      <c r="C381" s="6" t="s">
        <v>21</v>
      </c>
      <c r="D381" s="6" t="s">
        <v>34</v>
      </c>
      <c r="E381" s="6" t="n">
        <f aca="false">IF($D381="",0,LEN($D381)-LEN(SUBSTITUTE($D381,",",""))+1)</f>
        <v>3</v>
      </c>
      <c r="F381" s="6"/>
    </row>
    <row r="382" customFormat="false" ht="15" hidden="false" customHeight="true" outlineLevel="0" collapsed="false">
      <c r="A382" s="5" t="n">
        <v>45161</v>
      </c>
      <c r="B382" s="6" t="s">
        <v>140</v>
      </c>
      <c r="C382" s="6" t="s">
        <v>21</v>
      </c>
      <c r="D382" s="6" t="s">
        <v>34</v>
      </c>
      <c r="E382" s="6" t="n">
        <f aca="false">IF($D382="",0,LEN($D382)-LEN(SUBSTITUTE($D382,",",""))+1)</f>
        <v>3</v>
      </c>
      <c r="F382" s="6"/>
    </row>
    <row r="383" customFormat="false" ht="15" hidden="false" customHeight="true" outlineLevel="0" collapsed="false">
      <c r="A383" s="5" t="n">
        <v>45163</v>
      </c>
      <c r="B383" s="6" t="s">
        <v>30</v>
      </c>
      <c r="C383" s="6" t="s">
        <v>92</v>
      </c>
      <c r="D383" s="6" t="s">
        <v>93</v>
      </c>
      <c r="E383" s="6" t="n">
        <f aca="false">IF($D383="",0,LEN($D383)-LEN(SUBSTITUTE($D383,",",""))+1)</f>
        <v>4</v>
      </c>
      <c r="F383" s="6"/>
    </row>
    <row r="384" customFormat="false" ht="15" hidden="false" customHeight="true" outlineLevel="0" collapsed="false">
      <c r="A384" s="5" t="n">
        <v>45163</v>
      </c>
      <c r="B384" s="6" t="s">
        <v>30</v>
      </c>
      <c r="C384" s="6" t="s">
        <v>21</v>
      </c>
      <c r="D384" s="6" t="s">
        <v>34</v>
      </c>
      <c r="E384" s="6" t="n">
        <f aca="false">IF($D384="",0,LEN($D384)-LEN(SUBSTITUTE($D384,",",""))+1)</f>
        <v>3</v>
      </c>
      <c r="F384" s="6"/>
    </row>
    <row r="385" customFormat="false" ht="15" hidden="false" customHeight="true" outlineLevel="0" collapsed="false">
      <c r="A385" s="5" t="n">
        <v>45163</v>
      </c>
      <c r="B385" s="6" t="s">
        <v>140</v>
      </c>
      <c r="C385" s="6" t="s">
        <v>21</v>
      </c>
      <c r="D385" s="6" t="s">
        <v>34</v>
      </c>
      <c r="E385" s="6" t="n">
        <f aca="false">IF($D385="",0,LEN($D385)-LEN(SUBSTITUTE($D385,",",""))+1)</f>
        <v>3</v>
      </c>
      <c r="F385" s="6"/>
    </row>
    <row r="386" customFormat="false" ht="15" hidden="false" customHeight="true" outlineLevel="0" collapsed="false">
      <c r="A386" s="5" t="n">
        <v>45177</v>
      </c>
      <c r="B386" s="6" t="s">
        <v>140</v>
      </c>
      <c r="C386" s="6" t="s">
        <v>22</v>
      </c>
      <c r="D386" s="6" t="s">
        <v>93</v>
      </c>
      <c r="E386" s="6" t="n">
        <f aca="false">IF($D386="",0,LEN($D386)-LEN(SUBSTITUTE($D386,",",""))+1)</f>
        <v>4</v>
      </c>
      <c r="F386" s="6" t="s">
        <v>150</v>
      </c>
    </row>
    <row r="387" customFormat="false" ht="15" hidden="false" customHeight="true" outlineLevel="0" collapsed="false">
      <c r="A387" s="5" t="n">
        <v>45184</v>
      </c>
      <c r="B387" s="6" t="s">
        <v>151</v>
      </c>
      <c r="C387" s="6" t="s">
        <v>33</v>
      </c>
      <c r="D387" s="6" t="s">
        <v>34</v>
      </c>
      <c r="E387" s="6" t="n">
        <f aca="false">IF($D387="",0,LEN($D387)-LEN(SUBSTITUTE($D387,",",""))+1)</f>
        <v>3</v>
      </c>
      <c r="F387" s="6" t="s">
        <v>152</v>
      </c>
    </row>
    <row r="388" customFormat="false" ht="15" hidden="false" customHeight="true" outlineLevel="0" collapsed="false">
      <c r="A388" s="5" t="n">
        <v>45184</v>
      </c>
      <c r="B388" s="6" t="s">
        <v>151</v>
      </c>
      <c r="C388" s="6" t="s">
        <v>22</v>
      </c>
      <c r="D388" s="6" t="s">
        <v>32</v>
      </c>
      <c r="E388" s="6" t="n">
        <f aca="false">IF($D388="",0,LEN($D388)-LEN(SUBSTITUTE($D388,",",""))+1)</f>
        <v>4</v>
      </c>
      <c r="F388" s="6" t="s">
        <v>152</v>
      </c>
    </row>
    <row r="389" customFormat="false" ht="15" hidden="false" customHeight="true" outlineLevel="0" collapsed="false">
      <c r="A389" s="5" t="n">
        <v>45185</v>
      </c>
      <c r="B389" s="6" t="s">
        <v>54</v>
      </c>
      <c r="C389" s="6" t="s">
        <v>21</v>
      </c>
      <c r="D389" s="6" t="s">
        <v>59</v>
      </c>
      <c r="E389" s="6" t="n">
        <f aca="false">IF($D389="",0,LEN($D389)-LEN(SUBSTITUTE($D389,",",""))+1)</f>
        <v>2</v>
      </c>
      <c r="F389" s="6"/>
    </row>
    <row r="390" customFormat="false" ht="15" hidden="false" customHeight="true" outlineLevel="0" collapsed="false">
      <c r="A390" s="5" t="n">
        <v>45185</v>
      </c>
      <c r="B390" s="6" t="s">
        <v>54</v>
      </c>
      <c r="C390" s="6" t="s">
        <v>33</v>
      </c>
      <c r="D390" s="6" t="s">
        <v>59</v>
      </c>
      <c r="E390" s="6" t="n">
        <f aca="false">IF($D390="",0,LEN($D390)-LEN(SUBSTITUTE($D390,",",""))+1)</f>
        <v>2</v>
      </c>
      <c r="F390" s="6"/>
    </row>
    <row r="391" customFormat="false" ht="15" hidden="false" customHeight="true" outlineLevel="0" collapsed="false">
      <c r="A391" s="5" t="n">
        <v>45185</v>
      </c>
      <c r="B391" s="6" t="s">
        <v>54</v>
      </c>
      <c r="C391" s="6" t="s">
        <v>33</v>
      </c>
      <c r="D391" s="6" t="s">
        <v>153</v>
      </c>
      <c r="E391" s="6" t="n">
        <f aca="false">IF($D391="",0,LEN($D391)-LEN(SUBSTITUTE($D391,",",""))+1)</f>
        <v>3</v>
      </c>
      <c r="F391" s="6"/>
    </row>
    <row r="392" customFormat="false" ht="15" hidden="false" customHeight="true" outlineLevel="0" collapsed="false">
      <c r="A392" s="5" t="n">
        <v>45185</v>
      </c>
      <c r="B392" s="6" t="s">
        <v>30</v>
      </c>
      <c r="C392" s="6" t="s">
        <v>21</v>
      </c>
      <c r="D392" s="6" t="s">
        <v>34</v>
      </c>
      <c r="E392" s="6" t="n">
        <f aca="false">IF($D392="",0,LEN($D392)-LEN(SUBSTITUTE($D392,",",""))+1)</f>
        <v>3</v>
      </c>
      <c r="F392" s="6"/>
    </row>
    <row r="393" customFormat="false" ht="15" hidden="false" customHeight="true" outlineLevel="0" collapsed="false">
      <c r="A393" s="5" t="n">
        <v>45191</v>
      </c>
      <c r="B393" s="6" t="s">
        <v>154</v>
      </c>
      <c r="C393" s="6" t="s">
        <v>21</v>
      </c>
      <c r="D393" s="6" t="s">
        <v>56</v>
      </c>
      <c r="E393" s="6" t="n">
        <f aca="false">IF($D393="",0,LEN($D393)-LEN(SUBSTITUTE($D393,",",""))+1)</f>
        <v>3</v>
      </c>
      <c r="F393" s="6" t="s">
        <v>155</v>
      </c>
    </row>
    <row r="394" customFormat="false" ht="15" hidden="false" customHeight="true" outlineLevel="0" collapsed="false">
      <c r="A394" s="5" t="n">
        <v>45191</v>
      </c>
      <c r="B394" s="6" t="s">
        <v>156</v>
      </c>
      <c r="C394" s="6" t="s">
        <v>33</v>
      </c>
      <c r="D394" s="6" t="s">
        <v>59</v>
      </c>
      <c r="E394" s="6" t="n">
        <f aca="false">IF($D394="",0,LEN($D394)-LEN(SUBSTITUTE($D394,",",""))+1)</f>
        <v>2</v>
      </c>
      <c r="F394" s="6"/>
    </row>
    <row r="395" customFormat="false" ht="15" hidden="false" customHeight="true" outlineLevel="0" collapsed="false">
      <c r="A395" s="5" t="n">
        <v>45195</v>
      </c>
      <c r="B395" s="6" t="s">
        <v>54</v>
      </c>
      <c r="C395" s="6" t="s">
        <v>33</v>
      </c>
      <c r="D395" s="6" t="s">
        <v>59</v>
      </c>
      <c r="E395" s="6" t="n">
        <f aca="false">IF($D395="",0,LEN($D395)-LEN(SUBSTITUTE($D395,",",""))+1)</f>
        <v>2</v>
      </c>
      <c r="F395" s="6"/>
    </row>
    <row r="396" customFormat="false" ht="15" hidden="false" customHeight="true" outlineLevel="0" collapsed="false">
      <c r="A396" s="5" t="n">
        <v>45195</v>
      </c>
      <c r="B396" s="6" t="s">
        <v>54</v>
      </c>
      <c r="C396" s="6" t="s">
        <v>33</v>
      </c>
      <c r="D396" s="6" t="s">
        <v>59</v>
      </c>
      <c r="E396" s="6" t="n">
        <f aca="false">IF($D396="",0,LEN($D396)-LEN(SUBSTITUTE($D396,",",""))+1)</f>
        <v>2</v>
      </c>
      <c r="F396" s="6"/>
    </row>
    <row r="397" customFormat="false" ht="15" hidden="false" customHeight="true" outlineLevel="0" collapsed="false">
      <c r="A397" s="5" t="n">
        <v>45195</v>
      </c>
      <c r="B397" s="6" t="s">
        <v>157</v>
      </c>
      <c r="C397" s="6" t="s">
        <v>33</v>
      </c>
      <c r="D397" s="6" t="s">
        <v>56</v>
      </c>
      <c r="E397" s="6" t="n">
        <f aca="false">IF($D397="",0,LEN($D397)-LEN(SUBSTITUTE($D397,",",""))+1)</f>
        <v>3</v>
      </c>
      <c r="F397" s="6"/>
    </row>
    <row r="398" customFormat="false" ht="15" hidden="false" customHeight="true" outlineLevel="0" collapsed="false">
      <c r="A398" s="5" t="n">
        <v>45198</v>
      </c>
      <c r="B398" s="6" t="s">
        <v>140</v>
      </c>
      <c r="C398" s="6" t="s">
        <v>22</v>
      </c>
      <c r="D398" s="6" t="s">
        <v>34</v>
      </c>
      <c r="E398" s="6" t="n">
        <f aca="false">IF($D398="",0,LEN($D398)-LEN(SUBSTITUTE($D398,",",""))+1)</f>
        <v>3</v>
      </c>
      <c r="F398" s="6"/>
    </row>
    <row r="399" customFormat="false" ht="15" hidden="false" customHeight="true" outlineLevel="0" collapsed="false">
      <c r="A399" s="5" t="n">
        <v>45199</v>
      </c>
      <c r="B399" s="6" t="s">
        <v>54</v>
      </c>
      <c r="C399" s="6" t="s">
        <v>33</v>
      </c>
      <c r="D399" s="6" t="s">
        <v>59</v>
      </c>
      <c r="E399" s="6" t="n">
        <f aca="false">IF($D399="",0,LEN($D399)-LEN(SUBSTITUTE($D399,",",""))+1)</f>
        <v>2</v>
      </c>
      <c r="F399" s="6"/>
    </row>
    <row r="400" customFormat="false" ht="15" hidden="false" customHeight="true" outlineLevel="0" collapsed="false">
      <c r="A400" s="5" t="n">
        <v>45199</v>
      </c>
      <c r="B400" s="6" t="s">
        <v>54</v>
      </c>
      <c r="C400" s="6" t="s">
        <v>33</v>
      </c>
      <c r="D400" s="6" t="s">
        <v>59</v>
      </c>
      <c r="E400" s="6" t="n">
        <f aca="false">IF($D400="",0,LEN($D400)-LEN(SUBSTITUTE($D400,",",""))+1)</f>
        <v>2</v>
      </c>
      <c r="F400" s="6"/>
    </row>
    <row r="401" customFormat="false" ht="15" hidden="false" customHeight="true" outlineLevel="0" collapsed="false">
      <c r="A401" s="5" t="n">
        <v>45199</v>
      </c>
      <c r="B401" s="6" t="s">
        <v>157</v>
      </c>
      <c r="C401" s="6" t="s">
        <v>21</v>
      </c>
      <c r="D401" s="6" t="s">
        <v>34</v>
      </c>
      <c r="E401" s="6" t="n">
        <f aca="false">IF($D401="",0,LEN($D401)-LEN(SUBSTITUTE($D401,",",""))+1)</f>
        <v>3</v>
      </c>
      <c r="F401" s="6"/>
    </row>
    <row r="402" customFormat="false" ht="15" hidden="false" customHeight="true" outlineLevel="0" collapsed="false">
      <c r="A402" s="5" t="n">
        <v>45202</v>
      </c>
      <c r="B402" s="6" t="s">
        <v>157</v>
      </c>
      <c r="C402" s="6" t="s">
        <v>33</v>
      </c>
      <c r="D402" s="6" t="s">
        <v>34</v>
      </c>
      <c r="E402" s="6" t="n">
        <f aca="false">IF($D402="",0,LEN($D402)-LEN(SUBSTITUTE($D402,",",""))+1)</f>
        <v>3</v>
      </c>
      <c r="F402" s="6"/>
    </row>
    <row r="403" customFormat="false" ht="15" hidden="false" customHeight="true" outlineLevel="0" collapsed="false">
      <c r="A403" s="5" t="n">
        <v>45203</v>
      </c>
      <c r="B403" s="6" t="s">
        <v>54</v>
      </c>
      <c r="C403" s="6" t="s">
        <v>33</v>
      </c>
      <c r="D403" s="6" t="s">
        <v>59</v>
      </c>
      <c r="E403" s="6" t="n">
        <f aca="false">IF($D403="",0,LEN($D403)-LEN(SUBSTITUTE($D403,",",""))+1)</f>
        <v>2</v>
      </c>
      <c r="F403" s="6"/>
    </row>
    <row r="404" customFormat="false" ht="15" hidden="false" customHeight="true" outlineLevel="0" collapsed="false">
      <c r="A404" s="5" t="n">
        <v>45203</v>
      </c>
      <c r="B404" s="6" t="s">
        <v>54</v>
      </c>
      <c r="C404" s="6" t="s">
        <v>21</v>
      </c>
      <c r="D404" s="6" t="s">
        <v>59</v>
      </c>
      <c r="E404" s="6" t="n">
        <f aca="false">IF($D404="",0,LEN($D404)-LEN(SUBSTITUTE($D404,",",""))+1)</f>
        <v>2</v>
      </c>
      <c r="F404" s="6"/>
    </row>
    <row r="405" customFormat="false" ht="15" hidden="false" customHeight="true" outlineLevel="0" collapsed="false">
      <c r="A405" s="5" t="n">
        <v>45203</v>
      </c>
      <c r="B405" s="6" t="s">
        <v>157</v>
      </c>
      <c r="C405" s="6" t="s">
        <v>21</v>
      </c>
      <c r="D405" s="6" t="s">
        <v>59</v>
      </c>
      <c r="E405" s="6" t="n">
        <f aca="false">IF($D405="",0,LEN($D405)-LEN(SUBSTITUTE($D405,",",""))+1)</f>
        <v>2</v>
      </c>
      <c r="F405" s="6"/>
    </row>
    <row r="406" customFormat="false" ht="15" hidden="false" customHeight="true" outlineLevel="0" collapsed="false">
      <c r="A406" s="5" t="n">
        <v>45205</v>
      </c>
      <c r="B406" s="6" t="s">
        <v>140</v>
      </c>
      <c r="C406" s="6" t="s">
        <v>33</v>
      </c>
      <c r="D406" s="6" t="s">
        <v>59</v>
      </c>
      <c r="E406" s="6" t="n">
        <f aca="false">IF($D406="",0,LEN($D406)-LEN(SUBSTITUTE($D406,",",""))+1)</f>
        <v>2</v>
      </c>
      <c r="F406" s="6"/>
    </row>
    <row r="407" customFormat="false" ht="15" hidden="false" customHeight="true" outlineLevel="0" collapsed="false">
      <c r="A407" s="5" t="n">
        <v>45205</v>
      </c>
      <c r="B407" s="6" t="s">
        <v>157</v>
      </c>
      <c r="C407" s="6" t="s">
        <v>21</v>
      </c>
      <c r="D407" s="6" t="s">
        <v>59</v>
      </c>
      <c r="E407" s="6" t="n">
        <f aca="false">IF($D407="",0,LEN($D407)-LEN(SUBSTITUTE($D407,",",""))+1)</f>
        <v>2</v>
      </c>
      <c r="F407" s="6"/>
    </row>
    <row r="408" customFormat="false" ht="15" hidden="false" customHeight="true" outlineLevel="0" collapsed="false">
      <c r="A408" s="5" t="n">
        <v>45207</v>
      </c>
      <c r="B408" s="6" t="s">
        <v>54</v>
      </c>
      <c r="C408" s="6" t="s">
        <v>33</v>
      </c>
      <c r="D408" s="6" t="s">
        <v>59</v>
      </c>
      <c r="E408" s="6" t="n">
        <f aca="false">IF($D408="",0,LEN($D408)-LEN(SUBSTITUTE($D408,",",""))+1)</f>
        <v>2</v>
      </c>
      <c r="F408" s="6"/>
    </row>
    <row r="409" customFormat="false" ht="15" hidden="false" customHeight="true" outlineLevel="0" collapsed="false">
      <c r="A409" s="5" t="n">
        <v>45207</v>
      </c>
      <c r="B409" s="6" t="s">
        <v>54</v>
      </c>
      <c r="C409" s="6" t="s">
        <v>33</v>
      </c>
      <c r="D409" s="6" t="s">
        <v>59</v>
      </c>
      <c r="E409" s="6" t="n">
        <f aca="false">IF($D409="",0,LEN($D409)-LEN(SUBSTITUTE($D409,",",""))+1)</f>
        <v>2</v>
      </c>
      <c r="F409" s="6"/>
    </row>
    <row r="410" customFormat="false" ht="15" hidden="false" customHeight="true" outlineLevel="0" collapsed="false">
      <c r="A410" s="5" t="n">
        <v>45207</v>
      </c>
      <c r="B410" s="6" t="s">
        <v>140</v>
      </c>
      <c r="C410" s="6" t="s">
        <v>21</v>
      </c>
      <c r="D410" s="6" t="s">
        <v>59</v>
      </c>
      <c r="E410" s="6" t="n">
        <f aca="false">IF($D410="",0,LEN($D410)-LEN(SUBSTITUTE($D410,",",""))+1)</f>
        <v>2</v>
      </c>
      <c r="F410" s="6"/>
    </row>
    <row r="411" customFormat="false" ht="15" hidden="false" customHeight="true" outlineLevel="0" collapsed="false">
      <c r="A411" s="5" t="n">
        <v>45211</v>
      </c>
      <c r="B411" s="6" t="s">
        <v>54</v>
      </c>
      <c r="C411" s="6" t="s">
        <v>33</v>
      </c>
      <c r="D411" s="6" t="s">
        <v>59</v>
      </c>
      <c r="E411" s="6" t="n">
        <f aca="false">IF($D411="",0,LEN($D411)-LEN(SUBSTITUTE($D411,",",""))+1)</f>
        <v>2</v>
      </c>
      <c r="F411" s="6"/>
    </row>
    <row r="412" customFormat="false" ht="15" hidden="false" customHeight="true" outlineLevel="0" collapsed="false">
      <c r="A412" s="5" t="n">
        <v>45211</v>
      </c>
      <c r="B412" s="6" t="s">
        <v>54</v>
      </c>
      <c r="C412" s="6" t="s">
        <v>33</v>
      </c>
      <c r="D412" s="6" t="s">
        <v>59</v>
      </c>
      <c r="E412" s="6" t="n">
        <f aca="false">IF($D412="",0,LEN($D412)-LEN(SUBSTITUTE($D412,",",""))+1)</f>
        <v>2</v>
      </c>
      <c r="F412" s="6"/>
    </row>
    <row r="413" customFormat="false" ht="15" hidden="false" customHeight="true" outlineLevel="0" collapsed="false">
      <c r="A413" s="5" t="n">
        <v>45211</v>
      </c>
      <c r="B413" s="6" t="s">
        <v>140</v>
      </c>
      <c r="C413" s="6" t="s">
        <v>21</v>
      </c>
      <c r="D413" s="6" t="s">
        <v>59</v>
      </c>
      <c r="E413" s="6" t="n">
        <f aca="false">IF($D413="",0,LEN($D413)-LEN(SUBSTITUTE($D413,",",""))+1)</f>
        <v>2</v>
      </c>
      <c r="F413" s="6"/>
    </row>
    <row r="414" customFormat="false" ht="15" hidden="false" customHeight="true" outlineLevel="0" collapsed="false">
      <c r="A414" s="5" t="n">
        <v>45217</v>
      </c>
      <c r="B414" s="6" t="s">
        <v>54</v>
      </c>
      <c r="C414" s="6" t="s">
        <v>33</v>
      </c>
      <c r="D414" s="6" t="s">
        <v>59</v>
      </c>
      <c r="E414" s="6" t="n">
        <f aca="false">IF($D414="",0,LEN($D414)-LEN(SUBSTITUTE($D414,",",""))+1)</f>
        <v>2</v>
      </c>
      <c r="F414" s="6"/>
    </row>
    <row r="415" customFormat="false" ht="15" hidden="false" customHeight="true" outlineLevel="0" collapsed="false">
      <c r="A415" s="5" t="n">
        <v>45217</v>
      </c>
      <c r="B415" s="6" t="s">
        <v>157</v>
      </c>
      <c r="C415" s="6" t="s">
        <v>33</v>
      </c>
      <c r="D415" s="6" t="s">
        <v>59</v>
      </c>
      <c r="E415" s="6" t="n">
        <f aca="false">IF($D415="",0,LEN($D415)-LEN(SUBSTITUTE($D415,",",""))+1)</f>
        <v>2</v>
      </c>
      <c r="F415" s="6"/>
    </row>
    <row r="416" customFormat="false" ht="15" hidden="false" customHeight="true" outlineLevel="0" collapsed="false">
      <c r="A416" s="5" t="n">
        <v>45217</v>
      </c>
      <c r="B416" s="6" t="s">
        <v>157</v>
      </c>
      <c r="C416" s="6" t="s">
        <v>21</v>
      </c>
      <c r="D416" s="6" t="s">
        <v>59</v>
      </c>
      <c r="E416" s="6" t="n">
        <f aca="false">IF($D416="",0,LEN($D416)-LEN(SUBSTITUTE($D416,",",""))+1)</f>
        <v>2</v>
      </c>
      <c r="F416" s="6"/>
    </row>
    <row r="417" customFormat="false" ht="15" hidden="false" customHeight="true" outlineLevel="0" collapsed="false">
      <c r="A417" s="5" t="n">
        <v>45218</v>
      </c>
      <c r="B417" s="6" t="s">
        <v>54</v>
      </c>
      <c r="C417" s="6" t="s">
        <v>33</v>
      </c>
      <c r="D417" s="6" t="s">
        <v>59</v>
      </c>
      <c r="E417" s="6" t="n">
        <f aca="false">IF($D417="",0,LEN($D417)-LEN(SUBSTITUTE($D417,",",""))+1)</f>
        <v>2</v>
      </c>
      <c r="F417" s="6" t="s">
        <v>158</v>
      </c>
    </row>
    <row r="418" customFormat="false" ht="15" hidden="false" customHeight="true" outlineLevel="0" collapsed="false">
      <c r="A418" s="5" t="n">
        <v>45218</v>
      </c>
      <c r="B418" s="6" t="s">
        <v>157</v>
      </c>
      <c r="C418" s="6" t="s">
        <v>33</v>
      </c>
      <c r="D418" s="6" t="s">
        <v>59</v>
      </c>
      <c r="E418" s="6" t="n">
        <f aca="false">IF($D418="",0,LEN($D418)-LEN(SUBSTITUTE($D418,",",""))+1)</f>
        <v>2</v>
      </c>
      <c r="F418" s="6"/>
    </row>
    <row r="419" customFormat="false" ht="15" hidden="false" customHeight="true" outlineLevel="0" collapsed="false">
      <c r="A419" s="5" t="n">
        <v>45219</v>
      </c>
      <c r="B419" s="6" t="s">
        <v>140</v>
      </c>
      <c r="C419" s="6" t="s">
        <v>21</v>
      </c>
      <c r="D419" s="6" t="s">
        <v>59</v>
      </c>
      <c r="E419" s="6" t="n">
        <f aca="false">IF($D419="",0,LEN($D419)-LEN(SUBSTITUTE($D419,",",""))+1)</f>
        <v>2</v>
      </c>
      <c r="F419" s="6"/>
    </row>
    <row r="420" customFormat="false" ht="15" hidden="false" customHeight="true" outlineLevel="0" collapsed="false">
      <c r="A420" s="5" t="n">
        <v>45223</v>
      </c>
      <c r="B420" s="6" t="s">
        <v>54</v>
      </c>
      <c r="C420" s="6" t="s">
        <v>33</v>
      </c>
      <c r="D420" s="6" t="s">
        <v>59</v>
      </c>
      <c r="E420" s="6" t="n">
        <f aca="false">IF($D420="",0,LEN($D420)-LEN(SUBSTITUTE($D420,",",""))+1)</f>
        <v>2</v>
      </c>
      <c r="F420" s="6"/>
    </row>
    <row r="421" customFormat="false" ht="15" hidden="false" customHeight="true" outlineLevel="0" collapsed="false">
      <c r="A421" s="5" t="n">
        <v>45223</v>
      </c>
      <c r="B421" s="6" t="s">
        <v>54</v>
      </c>
      <c r="C421" s="6" t="s">
        <v>21</v>
      </c>
      <c r="D421" s="6" t="s">
        <v>59</v>
      </c>
      <c r="E421" s="6" t="n">
        <f aca="false">IF($D421="",0,LEN($D421)-LEN(SUBSTITUTE($D421,",",""))+1)</f>
        <v>2</v>
      </c>
      <c r="F421" s="6"/>
    </row>
    <row r="422" customFormat="false" ht="15" hidden="false" customHeight="true" outlineLevel="0" collapsed="false">
      <c r="A422" s="5" t="n">
        <v>45223</v>
      </c>
      <c r="B422" s="6" t="s">
        <v>157</v>
      </c>
      <c r="C422" s="6" t="s">
        <v>33</v>
      </c>
      <c r="D422" s="6" t="s">
        <v>59</v>
      </c>
      <c r="E422" s="6" t="n">
        <f aca="false">IF($D422="",0,LEN($D422)-LEN(SUBSTITUTE($D422,",",""))+1)</f>
        <v>2</v>
      </c>
      <c r="F422" s="6"/>
    </row>
    <row r="423" customFormat="false" ht="15" hidden="false" customHeight="true" outlineLevel="0" collapsed="false">
      <c r="A423" s="5" t="n">
        <v>45223</v>
      </c>
      <c r="B423" s="6" t="s">
        <v>157</v>
      </c>
      <c r="C423" s="6" t="s">
        <v>33</v>
      </c>
      <c r="D423" s="6" t="s">
        <v>34</v>
      </c>
      <c r="E423" s="6" t="n">
        <f aca="false">IF($D423="",0,LEN($D423)-LEN(SUBSTITUTE($D423,",",""))+1)</f>
        <v>3</v>
      </c>
      <c r="F423" s="6"/>
    </row>
    <row r="424" customFormat="false" ht="15" hidden="false" customHeight="true" outlineLevel="0" collapsed="false">
      <c r="A424" s="5" t="n">
        <v>45224</v>
      </c>
      <c r="B424" s="6" t="s">
        <v>36</v>
      </c>
      <c r="C424" s="6" t="s">
        <v>33</v>
      </c>
      <c r="D424" s="6" t="s">
        <v>59</v>
      </c>
      <c r="E424" s="6" t="n">
        <f aca="false">IF($D424="",0,LEN($D424)-LEN(SUBSTITUTE($D424,",",""))+1)</f>
        <v>2</v>
      </c>
      <c r="F424" s="6" t="s">
        <v>159</v>
      </c>
    </row>
    <row r="425" customFormat="false" ht="15" hidden="false" customHeight="true" outlineLevel="0" collapsed="false">
      <c r="A425" s="5" t="n">
        <v>45224</v>
      </c>
      <c r="B425" s="6" t="s">
        <v>54</v>
      </c>
      <c r="C425" s="6" t="s">
        <v>33</v>
      </c>
      <c r="D425" s="6" t="s">
        <v>59</v>
      </c>
      <c r="E425" s="6" t="n">
        <f aca="false">IF($D425="",0,LEN($D425)-LEN(SUBSTITUTE($D425,",",""))+1)</f>
        <v>2</v>
      </c>
      <c r="F425" s="6"/>
    </row>
    <row r="426" customFormat="false" ht="15" hidden="false" customHeight="true" outlineLevel="0" collapsed="false">
      <c r="A426" s="5" t="n">
        <v>45224</v>
      </c>
      <c r="B426" s="6" t="s">
        <v>157</v>
      </c>
      <c r="C426" s="6" t="s">
        <v>33</v>
      </c>
      <c r="D426" s="6" t="s">
        <v>59</v>
      </c>
      <c r="E426" s="6" t="n">
        <f aca="false">IF($D426="",0,LEN($D426)-LEN(SUBSTITUTE($D426,",",""))+1)</f>
        <v>2</v>
      </c>
      <c r="F426" s="6"/>
    </row>
    <row r="427" customFormat="false" ht="15" hidden="false" customHeight="true" outlineLevel="0" collapsed="false">
      <c r="A427" s="5" t="n">
        <v>45225</v>
      </c>
      <c r="B427" s="6" t="s">
        <v>157</v>
      </c>
      <c r="C427" s="6" t="s">
        <v>21</v>
      </c>
      <c r="D427" s="6" t="s">
        <v>59</v>
      </c>
      <c r="E427" s="6" t="n">
        <f aca="false">IF($D427="",0,LEN($D427)-LEN(SUBSTITUTE($D427,",",""))+1)</f>
        <v>2</v>
      </c>
      <c r="F427" s="6"/>
    </row>
    <row r="428" customFormat="false" ht="15" hidden="false" customHeight="true" outlineLevel="0" collapsed="false">
      <c r="A428" s="5" t="n">
        <v>45226</v>
      </c>
      <c r="B428" s="6" t="s">
        <v>54</v>
      </c>
      <c r="C428" s="6" t="s">
        <v>33</v>
      </c>
      <c r="D428" s="6" t="s">
        <v>59</v>
      </c>
      <c r="E428" s="6" t="n">
        <f aca="false">IF($D428="",0,LEN($D428)-LEN(SUBSTITUTE($D428,",",""))+1)</f>
        <v>2</v>
      </c>
      <c r="F428" s="6"/>
    </row>
    <row r="429" customFormat="false" ht="15" hidden="false" customHeight="true" outlineLevel="0" collapsed="false">
      <c r="A429" s="5" t="n">
        <v>45226</v>
      </c>
      <c r="B429" s="6" t="s">
        <v>54</v>
      </c>
      <c r="C429" s="6" t="s">
        <v>33</v>
      </c>
      <c r="D429" s="6" t="s">
        <v>59</v>
      </c>
      <c r="E429" s="6" t="n">
        <f aca="false">IF($D429="",0,LEN($D429)-LEN(SUBSTITUTE($D429,",",""))+1)</f>
        <v>2</v>
      </c>
      <c r="F429" s="6"/>
    </row>
    <row r="430" customFormat="false" ht="15" hidden="false" customHeight="true" outlineLevel="0" collapsed="false">
      <c r="A430" s="5" t="n">
        <v>45226</v>
      </c>
      <c r="B430" s="6" t="s">
        <v>157</v>
      </c>
      <c r="C430" s="6" t="s">
        <v>21</v>
      </c>
      <c r="D430" s="6" t="s">
        <v>59</v>
      </c>
      <c r="E430" s="6" t="n">
        <f aca="false">IF($D430="",0,LEN($D430)-LEN(SUBSTITUTE($D430,",",""))+1)</f>
        <v>2</v>
      </c>
      <c r="F430" s="6"/>
    </row>
    <row r="431" customFormat="false" ht="15" hidden="false" customHeight="true" outlineLevel="0" collapsed="false">
      <c r="A431" s="5" t="n">
        <v>45226</v>
      </c>
      <c r="B431" s="6" t="s">
        <v>157</v>
      </c>
      <c r="C431" s="6" t="s">
        <v>21</v>
      </c>
      <c r="D431" s="6" t="s">
        <v>59</v>
      </c>
      <c r="E431" s="6" t="n">
        <f aca="false">IF($D431="",0,LEN($D431)-LEN(SUBSTITUTE($D431,",",""))+1)</f>
        <v>2</v>
      </c>
      <c r="F431" s="6"/>
    </row>
    <row r="432" customFormat="false" ht="15" hidden="false" customHeight="true" outlineLevel="0" collapsed="false">
      <c r="A432" s="5" t="n">
        <v>45230</v>
      </c>
      <c r="B432" s="6" t="s">
        <v>54</v>
      </c>
      <c r="C432" s="6" t="s">
        <v>21</v>
      </c>
      <c r="D432" s="6" t="s">
        <v>59</v>
      </c>
      <c r="E432" s="6" t="n">
        <f aca="false">IF($D432="",0,LEN($D432)-LEN(SUBSTITUTE($D432,",",""))+1)</f>
        <v>2</v>
      </c>
      <c r="F432" s="6"/>
    </row>
    <row r="433" customFormat="false" ht="15" hidden="false" customHeight="true" outlineLevel="0" collapsed="false">
      <c r="A433" s="5" t="n">
        <v>45230</v>
      </c>
      <c r="B433" s="6" t="s">
        <v>157</v>
      </c>
      <c r="C433" s="6" t="s">
        <v>33</v>
      </c>
      <c r="D433" s="6" t="s">
        <v>59</v>
      </c>
      <c r="E433" s="6" t="n">
        <f aca="false">IF($D433="",0,LEN($D433)-LEN(SUBSTITUTE($D433,",",""))+1)</f>
        <v>2</v>
      </c>
      <c r="F433" s="6"/>
    </row>
    <row r="434" customFormat="false" ht="15" hidden="false" customHeight="true" outlineLevel="0" collapsed="false">
      <c r="A434" s="5" t="n">
        <v>45238</v>
      </c>
      <c r="B434" s="6" t="s">
        <v>54</v>
      </c>
      <c r="C434" s="6" t="s">
        <v>21</v>
      </c>
      <c r="D434" s="6" t="s">
        <v>59</v>
      </c>
      <c r="E434" s="6" t="n">
        <f aca="false">IF($D434="",0,LEN($D434)-LEN(SUBSTITUTE($D434,",",""))+1)</f>
        <v>2</v>
      </c>
      <c r="F434" s="6"/>
    </row>
    <row r="435" customFormat="false" ht="15" hidden="false" customHeight="true" outlineLevel="0" collapsed="false">
      <c r="A435" s="5" t="n">
        <v>45238</v>
      </c>
      <c r="B435" s="6" t="s">
        <v>54</v>
      </c>
      <c r="C435" s="6" t="s">
        <v>21</v>
      </c>
      <c r="D435" s="6" t="s">
        <v>59</v>
      </c>
      <c r="E435" s="6" t="n">
        <f aca="false">IF($D435="",0,LEN($D435)-LEN(SUBSTITUTE($D435,",",""))+1)</f>
        <v>2</v>
      </c>
      <c r="F435" s="6"/>
    </row>
    <row r="436" customFormat="false" ht="15" hidden="false" customHeight="true" outlineLevel="0" collapsed="false">
      <c r="A436" s="5" t="n">
        <v>45238</v>
      </c>
      <c r="B436" s="6" t="s">
        <v>157</v>
      </c>
      <c r="C436" s="6" t="s">
        <v>33</v>
      </c>
      <c r="D436" s="6" t="s">
        <v>59</v>
      </c>
      <c r="E436" s="6" t="n">
        <f aca="false">IF($D436="",0,LEN($D436)-LEN(SUBSTITUTE($D436,",",""))+1)</f>
        <v>2</v>
      </c>
      <c r="F436" s="6"/>
    </row>
    <row r="437" customFormat="false" ht="15" hidden="false" customHeight="true" outlineLevel="0" collapsed="false">
      <c r="A437" s="5" t="n">
        <v>45240</v>
      </c>
      <c r="B437" s="6" t="s">
        <v>140</v>
      </c>
      <c r="C437" s="6" t="s">
        <v>21</v>
      </c>
      <c r="D437" s="6" t="s">
        <v>59</v>
      </c>
      <c r="E437" s="6" t="n">
        <f aca="false">IF($D437="",0,LEN($D437)-LEN(SUBSTITUTE($D437,",",""))+1)</f>
        <v>2</v>
      </c>
      <c r="F437" s="6" t="s">
        <v>160</v>
      </c>
    </row>
    <row r="438" customFormat="false" ht="15" hidden="false" customHeight="true" outlineLevel="0" collapsed="false">
      <c r="A438" s="5" t="n">
        <v>45241</v>
      </c>
      <c r="B438" s="6" t="s">
        <v>54</v>
      </c>
      <c r="C438" s="6" t="s">
        <v>33</v>
      </c>
      <c r="D438" s="6" t="s">
        <v>134</v>
      </c>
      <c r="E438" s="6" t="n">
        <f aca="false">IF($D438="",0,LEN($D438)-LEN(SUBSTITUTE($D438,",",""))+1)</f>
        <v>3</v>
      </c>
      <c r="F438" s="6"/>
    </row>
    <row r="439" customFormat="false" ht="15" hidden="false" customHeight="true" outlineLevel="0" collapsed="false">
      <c r="A439" s="5" t="n">
        <v>45241</v>
      </c>
      <c r="B439" s="6" t="s">
        <v>157</v>
      </c>
      <c r="C439" s="6" t="s">
        <v>21</v>
      </c>
      <c r="D439" s="6" t="s">
        <v>56</v>
      </c>
      <c r="E439" s="6" t="n">
        <f aca="false">IF($D439="",0,LEN($D439)-LEN(SUBSTITUTE($D439,",",""))+1)</f>
        <v>3</v>
      </c>
      <c r="F439" s="6"/>
    </row>
    <row r="440" customFormat="false" ht="15" hidden="false" customHeight="true" outlineLevel="0" collapsed="false">
      <c r="A440" s="5" t="n">
        <v>45246</v>
      </c>
      <c r="B440" s="6" t="s">
        <v>140</v>
      </c>
      <c r="C440" s="6" t="s">
        <v>21</v>
      </c>
      <c r="D440" s="6" t="s">
        <v>59</v>
      </c>
      <c r="E440" s="6" t="n">
        <f aca="false">IF($D440="",0,LEN($D440)-LEN(SUBSTITUTE($D440,",",""))+1)</f>
        <v>2</v>
      </c>
      <c r="F440" s="6"/>
    </row>
    <row r="441" customFormat="false" ht="15" hidden="false" customHeight="true" outlineLevel="0" collapsed="false">
      <c r="A441" s="5" t="n">
        <v>45246</v>
      </c>
      <c r="B441" s="6" t="s">
        <v>157</v>
      </c>
      <c r="C441" s="6" t="s">
        <v>21</v>
      </c>
      <c r="D441" s="6" t="s">
        <v>59</v>
      </c>
      <c r="E441" s="6" t="n">
        <f aca="false">IF($D441="",0,LEN($D441)-LEN(SUBSTITUTE($D441,",",""))+1)</f>
        <v>2</v>
      </c>
      <c r="F441" s="6"/>
    </row>
    <row r="442" customFormat="false" ht="15" hidden="false" customHeight="true" outlineLevel="0" collapsed="false">
      <c r="A442" s="5" t="n">
        <v>45252</v>
      </c>
      <c r="B442" s="6" t="s">
        <v>54</v>
      </c>
      <c r="C442" s="6" t="s">
        <v>33</v>
      </c>
      <c r="D442" s="6" t="s">
        <v>59</v>
      </c>
      <c r="E442" s="6" t="n">
        <f aca="false">IF($D442="",0,LEN($D442)-LEN(SUBSTITUTE($D442,",",""))+1)</f>
        <v>2</v>
      </c>
      <c r="F442" s="6"/>
    </row>
    <row r="443" customFormat="false" ht="15" hidden="false" customHeight="true" outlineLevel="0" collapsed="false">
      <c r="A443" s="5" t="n">
        <v>45252</v>
      </c>
      <c r="B443" s="6" t="s">
        <v>54</v>
      </c>
      <c r="C443" s="6" t="s">
        <v>21</v>
      </c>
      <c r="D443" s="6" t="s">
        <v>59</v>
      </c>
      <c r="E443" s="6" t="n">
        <f aca="false">IF($D443="",0,LEN($D443)-LEN(SUBSTITUTE($D443,",",""))+1)</f>
        <v>2</v>
      </c>
      <c r="F443" s="6"/>
    </row>
    <row r="444" customFormat="false" ht="15" hidden="false" customHeight="true" outlineLevel="0" collapsed="false">
      <c r="A444" s="5" t="n">
        <v>45252</v>
      </c>
      <c r="B444" s="6" t="s">
        <v>157</v>
      </c>
      <c r="C444" s="6" t="s">
        <v>33</v>
      </c>
      <c r="D444" s="6" t="s">
        <v>59</v>
      </c>
      <c r="E444" s="6" t="n">
        <f aca="false">IF($D444="",0,LEN($D444)-LEN(SUBSTITUTE($D444,",",""))+1)</f>
        <v>2</v>
      </c>
      <c r="F444" s="6"/>
    </row>
    <row r="445" customFormat="false" ht="15" hidden="false" customHeight="true" outlineLevel="0" collapsed="false">
      <c r="A445" s="5" t="n">
        <v>45256</v>
      </c>
      <c r="B445" s="6" t="s">
        <v>54</v>
      </c>
      <c r="C445" s="6" t="s">
        <v>21</v>
      </c>
      <c r="D445" s="6" t="s">
        <v>34</v>
      </c>
      <c r="E445" s="6" t="n">
        <f aca="false">IF($D445="",0,LEN($D445)-LEN(SUBSTITUTE($D445,",",""))+1)</f>
        <v>3</v>
      </c>
      <c r="F445" s="6"/>
    </row>
    <row r="446" customFormat="false" ht="15" hidden="false" customHeight="true" outlineLevel="0" collapsed="false">
      <c r="A446" s="5" t="n">
        <v>45256</v>
      </c>
      <c r="B446" s="6" t="s">
        <v>157</v>
      </c>
      <c r="C446" s="6" t="s">
        <v>22</v>
      </c>
      <c r="D446" s="6" t="s">
        <v>34</v>
      </c>
      <c r="E446" s="6" t="n">
        <f aca="false">IF($D446="",0,LEN($D446)-LEN(SUBSTITUTE($D446,",",""))+1)</f>
        <v>3</v>
      </c>
      <c r="F446" s="6"/>
    </row>
    <row r="447" customFormat="false" ht="15" hidden="false" customHeight="true" outlineLevel="0" collapsed="false">
      <c r="A447" s="5" t="n">
        <v>45261</v>
      </c>
      <c r="B447" s="6" t="s">
        <v>157</v>
      </c>
      <c r="C447" s="6" t="s">
        <v>21</v>
      </c>
      <c r="D447" s="6" t="s">
        <v>32</v>
      </c>
      <c r="E447" s="6" t="n">
        <f aca="false">IF($D447="",0,LEN($D447)-LEN(SUBSTITUTE($D447,",",""))+1)</f>
        <v>4</v>
      </c>
      <c r="F447" s="6"/>
    </row>
    <row r="448" customFormat="false" ht="15" hidden="false" customHeight="true" outlineLevel="0" collapsed="false">
      <c r="A448" s="5" t="n">
        <v>45261</v>
      </c>
      <c r="B448" s="6" t="s">
        <v>161</v>
      </c>
      <c r="C448" s="6" t="s">
        <v>21</v>
      </c>
      <c r="D448" s="6" t="s">
        <v>34</v>
      </c>
      <c r="E448" s="6" t="n">
        <f aca="false">IF($D448="",0,LEN($D448)-LEN(SUBSTITUTE($D448,",",""))+1)</f>
        <v>3</v>
      </c>
      <c r="F448" s="6"/>
    </row>
    <row r="449" customFormat="false" ht="15" hidden="false" customHeight="true" outlineLevel="0" collapsed="false">
      <c r="A449" s="5" t="n">
        <v>45262</v>
      </c>
      <c r="B449" s="6" t="s">
        <v>54</v>
      </c>
      <c r="C449" s="6" t="s">
        <v>21</v>
      </c>
      <c r="D449" s="6" t="s">
        <v>59</v>
      </c>
      <c r="E449" s="6" t="n">
        <f aca="false">IF($D449="",0,LEN($D449)-LEN(SUBSTITUTE($D449,",",""))+1)</f>
        <v>2</v>
      </c>
      <c r="F449" s="6"/>
    </row>
    <row r="450" customFormat="false" ht="15" hidden="false" customHeight="true" outlineLevel="0" collapsed="false">
      <c r="A450" s="5" t="n">
        <v>45262</v>
      </c>
      <c r="B450" s="6" t="s">
        <v>54</v>
      </c>
      <c r="C450" s="6" t="s">
        <v>33</v>
      </c>
      <c r="D450" s="6" t="s">
        <v>59</v>
      </c>
      <c r="E450" s="6" t="n">
        <f aca="false">IF($D450="",0,LEN($D450)-LEN(SUBSTITUTE($D450,",",""))+1)</f>
        <v>2</v>
      </c>
      <c r="F450" s="6"/>
    </row>
    <row r="451" customFormat="false" ht="15" hidden="false" customHeight="true" outlineLevel="0" collapsed="false">
      <c r="A451" s="5" t="n">
        <v>45262</v>
      </c>
      <c r="B451" s="6" t="s">
        <v>157</v>
      </c>
      <c r="C451" s="6" t="s">
        <v>21</v>
      </c>
      <c r="D451" s="6" t="s">
        <v>32</v>
      </c>
      <c r="E451" s="6" t="n">
        <f aca="false">IF($D451="",0,LEN($D451)-LEN(SUBSTITUTE($D451,",",""))+1)</f>
        <v>4</v>
      </c>
      <c r="F451" s="6"/>
    </row>
    <row r="452" customFormat="false" ht="15" hidden="false" customHeight="true" outlineLevel="0" collapsed="false">
      <c r="A452" s="5" t="n">
        <v>45266</v>
      </c>
      <c r="B452" s="6" t="s">
        <v>54</v>
      </c>
      <c r="C452" s="6" t="s">
        <v>33</v>
      </c>
      <c r="D452" s="6" t="s">
        <v>59</v>
      </c>
      <c r="E452" s="6" t="n">
        <f aca="false">IF($D452="",0,LEN($D452)-LEN(SUBSTITUTE($D452,",",""))+1)</f>
        <v>2</v>
      </c>
      <c r="F452" s="6"/>
    </row>
    <row r="453" customFormat="false" ht="15" hidden="false" customHeight="true" outlineLevel="0" collapsed="false">
      <c r="A453" s="5" t="n">
        <v>45266</v>
      </c>
      <c r="B453" s="6" t="s">
        <v>162</v>
      </c>
      <c r="C453" s="6" t="s">
        <v>21</v>
      </c>
      <c r="D453" s="6" t="s">
        <v>59</v>
      </c>
      <c r="E453" s="6" t="n">
        <f aca="false">IF($D453="",0,LEN($D453)-LEN(SUBSTITUTE($D453,",",""))+1)</f>
        <v>2</v>
      </c>
      <c r="F453" s="6" t="s">
        <v>163</v>
      </c>
    </row>
    <row r="454" customFormat="false" ht="15" hidden="false" customHeight="true" outlineLevel="0" collapsed="false">
      <c r="A454" s="5" t="n">
        <v>45267</v>
      </c>
      <c r="B454" s="6" t="s">
        <v>157</v>
      </c>
      <c r="C454" s="6" t="s">
        <v>33</v>
      </c>
      <c r="D454" s="6" t="s">
        <v>59</v>
      </c>
      <c r="E454" s="6" t="n">
        <f aca="false">IF($D454="",0,LEN($D454)-LEN(SUBSTITUTE($D454,",",""))+1)</f>
        <v>2</v>
      </c>
      <c r="F454" s="6"/>
    </row>
    <row r="455" customFormat="false" ht="15" hidden="false" customHeight="true" outlineLevel="0" collapsed="false">
      <c r="A455" s="5" t="n">
        <v>45268</v>
      </c>
      <c r="B455" s="6" t="s">
        <v>157</v>
      </c>
      <c r="C455" s="6" t="s">
        <v>33</v>
      </c>
      <c r="D455" s="6" t="s">
        <v>56</v>
      </c>
      <c r="E455" s="6" t="n">
        <f aca="false">IF($D455="",0,LEN($D455)-LEN(SUBSTITUTE($D455,",",""))+1)</f>
        <v>3</v>
      </c>
      <c r="F455" s="6"/>
    </row>
    <row r="456" customFormat="false" ht="15" hidden="false" customHeight="true" outlineLevel="0" collapsed="false">
      <c r="A456" s="5" t="n">
        <v>45268</v>
      </c>
      <c r="B456" s="6" t="s">
        <v>161</v>
      </c>
      <c r="C456" s="6" t="s">
        <v>21</v>
      </c>
      <c r="D456" s="6" t="s">
        <v>34</v>
      </c>
      <c r="E456" s="6" t="n">
        <f aca="false">IF($D456="",0,LEN($D456)-LEN(SUBSTITUTE($D456,",",""))+1)</f>
        <v>3</v>
      </c>
      <c r="F456" s="6" t="s">
        <v>164</v>
      </c>
    </row>
    <row r="457" customFormat="false" ht="15" hidden="false" customHeight="true" outlineLevel="0" collapsed="false">
      <c r="A457" s="5" t="n">
        <v>45272</v>
      </c>
      <c r="B457" s="6" t="s">
        <v>54</v>
      </c>
      <c r="C457" s="6" t="s">
        <v>33</v>
      </c>
      <c r="D457" s="6" t="s">
        <v>59</v>
      </c>
      <c r="E457" s="6" t="n">
        <f aca="false">IF($D457="",0,LEN($D457)-LEN(SUBSTITUTE($D457,",",""))+1)</f>
        <v>2</v>
      </c>
      <c r="F457" s="6"/>
    </row>
    <row r="458" customFormat="false" ht="15" hidden="false" customHeight="true" outlineLevel="0" collapsed="false">
      <c r="A458" s="5" t="n">
        <v>45272</v>
      </c>
      <c r="B458" s="6" t="s">
        <v>157</v>
      </c>
      <c r="C458" s="6" t="s">
        <v>33</v>
      </c>
      <c r="D458" s="6" t="s">
        <v>59</v>
      </c>
      <c r="E458" s="6" t="n">
        <f aca="false">IF($D458="",0,LEN($D458)-LEN(SUBSTITUTE($D458,",",""))+1)</f>
        <v>2</v>
      </c>
      <c r="F458" s="6"/>
    </row>
    <row r="459" customFormat="false" ht="15" hidden="false" customHeight="true" outlineLevel="0" collapsed="false">
      <c r="A459" s="5" t="n">
        <v>45272</v>
      </c>
      <c r="B459" s="6" t="s">
        <v>157</v>
      </c>
      <c r="C459" s="6" t="s">
        <v>21</v>
      </c>
      <c r="D459" s="6" t="s">
        <v>56</v>
      </c>
      <c r="E459" s="6" t="n">
        <f aca="false">IF($D459="",0,LEN($D459)-LEN(SUBSTITUTE($D459,",",""))+1)</f>
        <v>3</v>
      </c>
      <c r="F459" s="6"/>
    </row>
    <row r="460" customFormat="false" ht="15" hidden="false" customHeight="true" outlineLevel="0" collapsed="false">
      <c r="A460" s="5" t="n">
        <v>45289</v>
      </c>
      <c r="B460" s="6" t="s">
        <v>140</v>
      </c>
      <c r="C460" s="6" t="s">
        <v>21</v>
      </c>
      <c r="D460" s="6" t="s">
        <v>43</v>
      </c>
      <c r="E460" s="6" t="n">
        <f aca="false">IF($D460="",0,LEN($D460)-LEN(SUBSTITUTE($D460,",",""))+1)</f>
        <v>5</v>
      </c>
      <c r="F460" s="6"/>
    </row>
    <row r="461" customFormat="false" ht="15" hidden="false" customHeight="true" outlineLevel="0" collapsed="false">
      <c r="A461" s="5" t="n">
        <v>45289</v>
      </c>
      <c r="B461" s="6" t="s">
        <v>99</v>
      </c>
      <c r="C461" s="6" t="s">
        <v>21</v>
      </c>
      <c r="D461" s="6" t="s">
        <v>43</v>
      </c>
      <c r="E461" s="6" t="n">
        <f aca="false">IF($D461="",0,LEN($D461)-LEN(SUBSTITUTE($D461,",",""))+1)</f>
        <v>5</v>
      </c>
      <c r="F461" s="6"/>
    </row>
    <row r="462" customFormat="false" ht="15" hidden="false" customHeight="true" outlineLevel="0" collapsed="false">
      <c r="A462" s="5" t="n">
        <v>45289</v>
      </c>
      <c r="B462" s="6" t="s">
        <v>99</v>
      </c>
      <c r="C462" s="6" t="s">
        <v>21</v>
      </c>
      <c r="D462" s="6" t="s">
        <v>59</v>
      </c>
      <c r="E462" s="6" t="n">
        <f aca="false">IF($D462="",0,LEN($D462)-LEN(SUBSTITUTE($D462,",",""))+1)</f>
        <v>2</v>
      </c>
      <c r="F462" s="6"/>
    </row>
    <row r="463" customFormat="false" ht="15" hidden="false" customHeight="true" outlineLevel="0" collapsed="false">
      <c r="A463" s="5" t="n">
        <v>45296</v>
      </c>
      <c r="B463" s="6" t="s">
        <v>136</v>
      </c>
      <c r="C463" s="6" t="s">
        <v>33</v>
      </c>
      <c r="D463" s="6" t="s">
        <v>32</v>
      </c>
      <c r="E463" s="6" t="n">
        <f aca="false">IF($D463="",0,LEN($D463)-LEN(SUBSTITUTE($D463,",",""))+1)</f>
        <v>4</v>
      </c>
      <c r="F463" s="6"/>
    </row>
    <row r="464" customFormat="false" ht="15" hidden="false" customHeight="true" outlineLevel="0" collapsed="false">
      <c r="A464" s="5" t="n">
        <v>45296</v>
      </c>
      <c r="B464" s="6" t="s">
        <v>140</v>
      </c>
      <c r="C464" s="6" t="s">
        <v>21</v>
      </c>
      <c r="D464" s="6" t="s">
        <v>43</v>
      </c>
      <c r="E464" s="6" t="n">
        <f aca="false">IF($D464="",0,LEN($D464)-LEN(SUBSTITUTE($D464,",",""))+1)</f>
        <v>5</v>
      </c>
      <c r="F464" s="6" t="s">
        <v>165</v>
      </c>
    </row>
    <row r="465" customFormat="false" ht="15" hidden="false" customHeight="true" outlineLevel="0" collapsed="false">
      <c r="A465" s="5" t="n">
        <v>45303</v>
      </c>
      <c r="B465" s="6" t="s">
        <v>54</v>
      </c>
      <c r="C465" s="6" t="s">
        <v>21</v>
      </c>
      <c r="D465" s="6" t="s">
        <v>59</v>
      </c>
      <c r="E465" s="6" t="n">
        <f aca="false">IF($D465="",0,LEN($D465)-LEN(SUBSTITUTE($D465,",",""))+1)</f>
        <v>2</v>
      </c>
      <c r="F465" s="6"/>
    </row>
    <row r="466" customFormat="false" ht="15" hidden="false" customHeight="true" outlineLevel="0" collapsed="false">
      <c r="A466" s="5" t="n">
        <v>45303</v>
      </c>
      <c r="B466" s="6" t="s">
        <v>157</v>
      </c>
      <c r="C466" s="6" t="s">
        <v>21</v>
      </c>
      <c r="D466" s="6" t="s">
        <v>59</v>
      </c>
      <c r="E466" s="6" t="n">
        <f aca="false">IF($D466="",0,LEN($D466)-LEN(SUBSTITUTE($D466,",",""))+1)</f>
        <v>2</v>
      </c>
      <c r="F466" s="6"/>
    </row>
    <row r="467" customFormat="false" ht="15" hidden="false" customHeight="true" outlineLevel="0" collapsed="false">
      <c r="A467" s="5" t="n">
        <v>45303</v>
      </c>
      <c r="B467" s="6" t="s">
        <v>54</v>
      </c>
      <c r="C467" s="6" t="s">
        <v>33</v>
      </c>
      <c r="D467" s="6" t="s">
        <v>59</v>
      </c>
      <c r="E467" s="6" t="n">
        <f aca="false">IF($D467="",0,LEN($D467)-LEN(SUBSTITUTE($D467,",",""))+1)</f>
        <v>2</v>
      </c>
      <c r="F467" s="6"/>
    </row>
    <row r="468" customFormat="false" ht="15" hidden="false" customHeight="true" outlineLevel="0" collapsed="false">
      <c r="A468" s="5" t="n">
        <v>45303</v>
      </c>
      <c r="B468" s="6" t="s">
        <v>157</v>
      </c>
      <c r="C468" s="6" t="s">
        <v>21</v>
      </c>
      <c r="D468" s="6" t="s">
        <v>32</v>
      </c>
      <c r="E468" s="6" t="n">
        <f aca="false">IF($D468="",0,LEN($D468)-LEN(SUBSTITUTE($D468,",",""))+1)</f>
        <v>4</v>
      </c>
      <c r="F468" s="6" t="s">
        <v>166</v>
      </c>
    </row>
    <row r="469" customFormat="false" ht="15" hidden="false" customHeight="true" outlineLevel="0" collapsed="false">
      <c r="A469" s="5" t="n">
        <v>45310</v>
      </c>
      <c r="B469" s="6" t="s">
        <v>54</v>
      </c>
      <c r="C469" s="6" t="s">
        <v>22</v>
      </c>
      <c r="D469" s="6" t="s">
        <v>34</v>
      </c>
      <c r="E469" s="6" t="n">
        <f aca="false">IF($D469="",0,LEN($D469)-LEN(SUBSTITUTE($D469,",",""))+1)</f>
        <v>3</v>
      </c>
      <c r="F469" s="6"/>
    </row>
    <row r="470" customFormat="false" ht="15" hidden="false" customHeight="true" outlineLevel="0" collapsed="false">
      <c r="A470" s="5" t="n">
        <v>45310</v>
      </c>
      <c r="B470" s="6" t="s">
        <v>157</v>
      </c>
      <c r="C470" s="6" t="s">
        <v>33</v>
      </c>
      <c r="D470" s="6" t="s">
        <v>59</v>
      </c>
      <c r="E470" s="6" t="n">
        <f aca="false">IF($D470="",0,LEN($D470)-LEN(SUBSTITUTE($D470,",",""))+1)</f>
        <v>2</v>
      </c>
      <c r="F470" s="6"/>
    </row>
    <row r="471" customFormat="false" ht="15" hidden="false" customHeight="true" outlineLevel="0" collapsed="false">
      <c r="A471" s="5" t="n">
        <v>45317</v>
      </c>
      <c r="B471" s="6" t="s">
        <v>23</v>
      </c>
      <c r="C471" s="6" t="s">
        <v>35</v>
      </c>
      <c r="D471" s="6" t="s">
        <v>89</v>
      </c>
      <c r="E471" s="6" t="n">
        <f aca="false">IF($D471="",0,LEN($D471)-LEN(SUBSTITUTE($D471,",",""))+1)</f>
        <v>4</v>
      </c>
      <c r="F471" s="6"/>
    </row>
    <row r="472" customFormat="false" ht="15" hidden="false" customHeight="true" outlineLevel="0" collapsed="false">
      <c r="A472" s="5" t="n">
        <v>45317</v>
      </c>
      <c r="B472" s="6" t="s">
        <v>157</v>
      </c>
      <c r="C472" s="6" t="s">
        <v>127</v>
      </c>
      <c r="D472" s="6" t="s">
        <v>123</v>
      </c>
      <c r="E472" s="6" t="n">
        <f aca="false">IF($D472="",0,LEN($D472)-LEN(SUBSTITUTE($D472,",",""))+1)</f>
        <v>4</v>
      </c>
      <c r="F472" s="6"/>
    </row>
    <row r="473" customFormat="false" ht="15" hidden="false" customHeight="true" outlineLevel="0" collapsed="false">
      <c r="A473" s="5" t="n">
        <v>45338</v>
      </c>
      <c r="B473" s="6" t="s">
        <v>137</v>
      </c>
      <c r="C473" s="6" t="s">
        <v>21</v>
      </c>
      <c r="D473" s="6" t="s">
        <v>32</v>
      </c>
      <c r="E473" s="6" t="n">
        <f aca="false">IF($D473="",0,LEN($D473)-LEN(SUBSTITUTE($D473,",",""))+1)</f>
        <v>4</v>
      </c>
      <c r="F473" s="6"/>
    </row>
    <row r="474" customFormat="false" ht="15" hidden="false" customHeight="true" outlineLevel="0" collapsed="false">
      <c r="A474" s="5" t="n">
        <v>45338</v>
      </c>
      <c r="B474" s="6" t="s">
        <v>157</v>
      </c>
      <c r="C474" s="6" t="s">
        <v>22</v>
      </c>
      <c r="D474" s="6" t="s">
        <v>167</v>
      </c>
      <c r="E474" s="6" t="n">
        <f aca="false">IF($D474="",0,LEN($D474)-LEN(SUBSTITUTE($D474,",",""))+1)</f>
        <v>5</v>
      </c>
      <c r="F474" s="6"/>
    </row>
    <row r="475" customFormat="false" ht="15" hidden="false" customHeight="true" outlineLevel="0" collapsed="false">
      <c r="A475" s="5" t="n">
        <v>45345</v>
      </c>
      <c r="B475" s="6" t="s">
        <v>137</v>
      </c>
      <c r="C475" s="6" t="s">
        <v>21</v>
      </c>
      <c r="D475" s="6" t="s">
        <v>32</v>
      </c>
      <c r="E475" s="6" t="n">
        <f aca="false">IF($D475="",0,LEN($D475)-LEN(SUBSTITUTE($D475,",",""))+1)</f>
        <v>4</v>
      </c>
      <c r="F475" s="6"/>
    </row>
    <row r="476" customFormat="false" ht="15" hidden="false" customHeight="true" outlineLevel="0" collapsed="false">
      <c r="A476" s="5" t="n">
        <v>45345</v>
      </c>
      <c r="B476" s="6" t="s">
        <v>157</v>
      </c>
      <c r="C476" s="6" t="s">
        <v>33</v>
      </c>
      <c r="D476" s="6" t="s">
        <v>32</v>
      </c>
      <c r="E476" s="6" t="n">
        <f aca="false">IF($D476="",0,LEN($D476)-LEN(SUBSTITUTE($D476,",",""))+1)</f>
        <v>4</v>
      </c>
      <c r="F476" s="6"/>
    </row>
    <row r="477" customFormat="false" ht="15" hidden="false" customHeight="true" outlineLevel="0" collapsed="false">
      <c r="A477" s="5" t="n">
        <v>45352</v>
      </c>
      <c r="B477" s="6" t="s">
        <v>27</v>
      </c>
      <c r="C477" s="6" t="s">
        <v>21</v>
      </c>
      <c r="D477" s="6" t="s">
        <v>56</v>
      </c>
      <c r="E477" s="6" t="n">
        <f aca="false">IF($D477="",0,LEN($D477)-LEN(SUBSTITUTE($D477,",",""))+1)</f>
        <v>3</v>
      </c>
      <c r="F477" s="6"/>
    </row>
    <row r="478" customFormat="false" ht="15" hidden="false" customHeight="true" outlineLevel="0" collapsed="false">
      <c r="A478" s="5" t="n">
        <v>45352</v>
      </c>
      <c r="B478" s="6" t="s">
        <v>157</v>
      </c>
      <c r="C478" s="6" t="s">
        <v>21</v>
      </c>
      <c r="D478" s="6" t="s">
        <v>32</v>
      </c>
      <c r="E478" s="6" t="n">
        <f aca="false">IF($D478="",0,LEN($D478)-LEN(SUBSTITUTE($D478,",",""))+1)</f>
        <v>4</v>
      </c>
      <c r="F478" s="6"/>
    </row>
    <row r="479" customFormat="false" ht="15" hidden="false" customHeight="true" outlineLevel="0" collapsed="false">
      <c r="A479" s="5" t="n">
        <v>45374</v>
      </c>
      <c r="B479" s="6" t="s">
        <v>157</v>
      </c>
      <c r="C479" s="6" t="s">
        <v>21</v>
      </c>
      <c r="D479" s="6" t="s">
        <v>56</v>
      </c>
      <c r="E479" s="6" t="n">
        <f aca="false">IF($D479="",0,LEN($D479)-LEN(SUBSTITUTE($D479,",",""))+1)</f>
        <v>3</v>
      </c>
      <c r="F479" s="6"/>
    </row>
    <row r="480" customFormat="false" ht="15" hidden="false" customHeight="true" outlineLevel="0" collapsed="false">
      <c r="A480" s="5" t="n">
        <v>45380</v>
      </c>
      <c r="B480" s="6" t="s">
        <v>137</v>
      </c>
      <c r="C480" s="6" t="s">
        <v>33</v>
      </c>
      <c r="D480" s="6" t="s">
        <v>34</v>
      </c>
      <c r="E480" s="6" t="n">
        <f aca="false">IF($D480="",0,LEN($D480)-LEN(SUBSTITUTE($D480,",",""))+1)</f>
        <v>3</v>
      </c>
      <c r="F480" s="6"/>
    </row>
    <row r="481" customFormat="false" ht="15" hidden="false" customHeight="true" outlineLevel="0" collapsed="false">
      <c r="A481" s="5" t="n">
        <v>45380</v>
      </c>
      <c r="B481" s="6" t="s">
        <v>157</v>
      </c>
      <c r="C481" s="6" t="s">
        <v>21</v>
      </c>
      <c r="D481" s="6" t="s">
        <v>43</v>
      </c>
      <c r="E481" s="6" t="n">
        <f aca="false">IF($D481="",0,LEN($D481)-LEN(SUBSTITUTE($D481,",",""))+1)</f>
        <v>5</v>
      </c>
      <c r="F481" s="6"/>
    </row>
    <row r="482" customFormat="false" ht="15" hidden="false" customHeight="true" outlineLevel="0" collapsed="false">
      <c r="A482" s="5" t="n">
        <v>45394</v>
      </c>
      <c r="B482" s="6" t="s">
        <v>27</v>
      </c>
      <c r="C482" s="6" t="s">
        <v>22</v>
      </c>
      <c r="D482" s="6" t="s">
        <v>34</v>
      </c>
      <c r="E482" s="6" t="n">
        <f aca="false">IF($D482="",0,LEN($D482)-LEN(SUBSTITUTE($D482,",",""))+1)</f>
        <v>3</v>
      </c>
      <c r="F482" s="6"/>
    </row>
    <row r="483" customFormat="false" ht="15" hidden="false" customHeight="true" outlineLevel="0" collapsed="false">
      <c r="A483" s="5" t="n">
        <v>45415</v>
      </c>
      <c r="B483" s="6" t="s">
        <v>27</v>
      </c>
      <c r="C483" s="6" t="s">
        <v>21</v>
      </c>
      <c r="D483" s="6" t="s">
        <v>32</v>
      </c>
      <c r="E483" s="6" t="n">
        <f aca="false">IF($D483="",0,LEN($D483)-LEN(SUBSTITUTE($D483,",",""))+1)</f>
        <v>4</v>
      </c>
      <c r="F483" s="6"/>
    </row>
    <row r="484" customFormat="false" ht="15" hidden="false" customHeight="true" outlineLevel="0" collapsed="false">
      <c r="A484" s="5" t="n">
        <v>45415</v>
      </c>
      <c r="B484" s="6" t="s">
        <v>157</v>
      </c>
      <c r="C484" s="6" t="s">
        <v>21</v>
      </c>
      <c r="D484" s="6" t="s">
        <v>32</v>
      </c>
      <c r="E484" s="6" t="n">
        <f aca="false">IF($D484="",0,LEN($D484)-LEN(SUBSTITUTE($D484,",",""))+1)</f>
        <v>4</v>
      </c>
      <c r="F484" s="6"/>
    </row>
    <row r="485" customFormat="false" ht="15" hidden="false" customHeight="true" outlineLevel="0" collapsed="false">
      <c r="A485" s="5" t="n">
        <v>45422</v>
      </c>
      <c r="B485" s="6" t="s">
        <v>54</v>
      </c>
      <c r="C485" s="6" t="s">
        <v>33</v>
      </c>
      <c r="D485" s="6" t="s">
        <v>59</v>
      </c>
      <c r="E485" s="6" t="n">
        <f aca="false">IF($D485="",0,LEN($D485)-LEN(SUBSTITUTE($D485,",",""))+1)</f>
        <v>2</v>
      </c>
      <c r="F485" s="6"/>
    </row>
    <row r="486" customFormat="false" ht="15" hidden="false" customHeight="true" outlineLevel="0" collapsed="false">
      <c r="A486" s="5" t="n">
        <v>45422</v>
      </c>
      <c r="B486" s="6" t="s">
        <v>157</v>
      </c>
      <c r="C486" s="6" t="s">
        <v>21</v>
      </c>
      <c r="D486" s="6" t="s">
        <v>59</v>
      </c>
      <c r="E486" s="6" t="n">
        <f aca="false">IF($D486="",0,LEN($D486)-LEN(SUBSTITUTE($D486,",",""))+1)</f>
        <v>2</v>
      </c>
      <c r="F486" s="6"/>
    </row>
    <row r="487" customFormat="false" ht="15" hidden="false" customHeight="true" outlineLevel="0" collapsed="false">
      <c r="A487" s="5" t="n">
        <v>45422</v>
      </c>
      <c r="B487" s="6" t="s">
        <v>54</v>
      </c>
      <c r="C487" s="6" t="s">
        <v>21</v>
      </c>
      <c r="D487" s="6" t="s">
        <v>32</v>
      </c>
      <c r="E487" s="6" t="n">
        <f aca="false">IF($D487="",0,LEN($D487)-LEN(SUBSTITUTE($D487,",",""))+1)</f>
        <v>4</v>
      </c>
      <c r="F487" s="6"/>
    </row>
    <row r="488" customFormat="false" ht="15" hidden="false" customHeight="true" outlineLevel="0" collapsed="false">
      <c r="A488" s="5" t="n">
        <v>45423</v>
      </c>
      <c r="B488" s="6" t="s">
        <v>157</v>
      </c>
      <c r="C488" s="6" t="s">
        <v>33</v>
      </c>
      <c r="D488" s="6" t="s">
        <v>56</v>
      </c>
      <c r="E488" s="6" t="n">
        <f aca="false">IF($D488="",0,LEN($D488)-LEN(SUBSTITUTE($D488,",",""))+1)</f>
        <v>3</v>
      </c>
      <c r="F488" s="6"/>
    </row>
    <row r="489" customFormat="false" ht="15" hidden="false" customHeight="true" outlineLevel="0" collapsed="false">
      <c r="A489" s="5" t="n">
        <v>45423</v>
      </c>
      <c r="B489" s="6" t="s">
        <v>42</v>
      </c>
      <c r="C489" s="6" t="s">
        <v>21</v>
      </c>
      <c r="D489" s="6" t="s">
        <v>59</v>
      </c>
      <c r="E489" s="6" t="n">
        <f aca="false">IF($D489="",0,LEN($D489)-LEN(SUBSTITUTE($D489,",",""))+1)</f>
        <v>2</v>
      </c>
      <c r="F489" s="6"/>
    </row>
    <row r="490" customFormat="false" ht="15" hidden="false" customHeight="true" outlineLevel="0" collapsed="false">
      <c r="A490" s="5" t="n">
        <v>45429</v>
      </c>
      <c r="B490" s="6" t="s">
        <v>135</v>
      </c>
      <c r="C490" s="6" t="s">
        <v>22</v>
      </c>
      <c r="D490" s="6" t="s">
        <v>142</v>
      </c>
      <c r="E490" s="6" t="n">
        <f aca="false">IF($D490="",0,LEN($D490)-LEN(SUBSTITUTE($D490,",",""))+1)</f>
        <v>4</v>
      </c>
      <c r="F490" s="6"/>
    </row>
    <row r="491" customFormat="false" ht="15" hidden="false" customHeight="true" outlineLevel="0" collapsed="false">
      <c r="A491" s="5" t="n">
        <v>45443</v>
      </c>
      <c r="B491" s="6" t="s">
        <v>140</v>
      </c>
      <c r="C491" s="6" t="s">
        <v>21</v>
      </c>
      <c r="D491" s="6" t="s">
        <v>32</v>
      </c>
      <c r="E491" s="6" t="n">
        <f aca="false">IF($D491="",0,LEN($D491)-LEN(SUBSTITUTE($D491,",",""))+1)</f>
        <v>4</v>
      </c>
      <c r="F491" s="6"/>
    </row>
    <row r="492" customFormat="false" ht="15" hidden="false" customHeight="true" outlineLevel="0" collapsed="false">
      <c r="A492" s="5" t="n">
        <v>45450</v>
      </c>
      <c r="B492" s="6" t="s">
        <v>137</v>
      </c>
      <c r="C492" s="6" t="s">
        <v>21</v>
      </c>
      <c r="D492" s="6" t="s">
        <v>34</v>
      </c>
      <c r="E492" s="6" t="n">
        <f aca="false">IF($D492="",0,LEN($D492)-LEN(SUBSTITUTE($D492,",",""))+1)</f>
        <v>3</v>
      </c>
      <c r="F492" s="6"/>
    </row>
    <row r="493" customFormat="false" ht="15" hidden="false" customHeight="true" outlineLevel="0" collapsed="false">
      <c r="A493" s="5" t="n">
        <v>45450</v>
      </c>
      <c r="B493" s="6" t="s">
        <v>157</v>
      </c>
      <c r="C493" s="6" t="s">
        <v>21</v>
      </c>
      <c r="D493" s="6" t="s">
        <v>34</v>
      </c>
      <c r="E493" s="6" t="n">
        <f aca="false">IF($D493="",0,LEN($D493)-LEN(SUBSTITUTE($D493,",",""))+1)</f>
        <v>3</v>
      </c>
      <c r="F493" s="6"/>
    </row>
    <row r="494" customFormat="false" ht="15" hidden="false" customHeight="true" outlineLevel="0" collapsed="false">
      <c r="A494" s="5" t="n">
        <v>45465</v>
      </c>
      <c r="B494" s="6" t="s">
        <v>135</v>
      </c>
      <c r="C494" s="6" t="s">
        <v>22</v>
      </c>
      <c r="D494" s="6" t="s">
        <v>34</v>
      </c>
      <c r="E494" s="6" t="n">
        <f aca="false">IF($D494="",0,LEN($D494)-LEN(SUBSTITUTE($D494,",",""))+1)</f>
        <v>3</v>
      </c>
      <c r="F494" s="6"/>
    </row>
    <row r="495" customFormat="false" ht="15" hidden="false" customHeight="true" outlineLevel="0" collapsed="false">
      <c r="A495" s="5" t="n">
        <v>45474</v>
      </c>
      <c r="B495" s="6" t="s">
        <v>136</v>
      </c>
      <c r="C495" s="6" t="s">
        <v>21</v>
      </c>
      <c r="D495" s="6" t="s">
        <v>34</v>
      </c>
      <c r="E495" s="6" t="n">
        <f aca="false">IF($D495="",0,LEN($D495)-LEN(SUBSTITUTE($D495,",",""))+1)</f>
        <v>3</v>
      </c>
      <c r="F495" s="6"/>
    </row>
    <row r="496" customFormat="false" ht="15" hidden="false" customHeight="true" outlineLevel="0" collapsed="false">
      <c r="A496" s="5" t="n">
        <v>45481</v>
      </c>
      <c r="B496" s="6" t="s">
        <v>157</v>
      </c>
      <c r="C496" s="6" t="s">
        <v>21</v>
      </c>
      <c r="D496" s="6" t="s">
        <v>55</v>
      </c>
      <c r="E496" s="6" t="n">
        <f aca="false">IF($D496="",0,LEN($D496)-LEN(SUBSTITUTE($D496,",",""))+1)</f>
        <v>4</v>
      </c>
      <c r="F496" s="6"/>
    </row>
    <row r="497" customFormat="false" ht="15" hidden="false" customHeight="true" outlineLevel="0" collapsed="false">
      <c r="A497" s="5" t="n">
        <v>45488</v>
      </c>
      <c r="B497" s="6" t="s">
        <v>157</v>
      </c>
      <c r="C497" s="6" t="s">
        <v>21</v>
      </c>
      <c r="D497" s="6" t="s">
        <v>32</v>
      </c>
      <c r="E497" s="6" t="n">
        <f aca="false">IF($D497="",0,LEN($D497)-LEN(SUBSTITUTE($D497,",",""))+1)</f>
        <v>4</v>
      </c>
      <c r="F497" s="6"/>
    </row>
    <row r="498" customFormat="false" ht="15" hidden="false" customHeight="true" outlineLevel="0" collapsed="false">
      <c r="A498" s="5" t="n">
        <v>45495</v>
      </c>
      <c r="B498" s="6" t="s">
        <v>157</v>
      </c>
      <c r="C498" s="6" t="s">
        <v>33</v>
      </c>
      <c r="D498" s="6" t="s">
        <v>32</v>
      </c>
      <c r="E498" s="6" t="n">
        <f aca="false">IF($D498="",0,LEN($D498)-LEN(SUBSTITUTE($D498,",",""))+1)</f>
        <v>4</v>
      </c>
      <c r="F498" s="6"/>
    </row>
    <row r="499" customFormat="false" ht="15" hidden="false" customHeight="true" outlineLevel="0" collapsed="false">
      <c r="A499" s="5" t="n">
        <v>45556</v>
      </c>
      <c r="B499" s="6" t="s">
        <v>157</v>
      </c>
      <c r="C499" s="6" t="s">
        <v>21</v>
      </c>
      <c r="D499" s="6" t="s">
        <v>32</v>
      </c>
      <c r="E499" s="6" t="n">
        <f aca="false">IF($D499="",0,LEN($D499)-LEN(SUBSTITUTE($D499,",",""))+1)</f>
        <v>4</v>
      </c>
      <c r="F499" s="6"/>
    </row>
    <row r="500" customFormat="false" ht="15" hidden="false" customHeight="true" outlineLevel="0" collapsed="false">
      <c r="A500" s="5" t="n">
        <v>45570</v>
      </c>
      <c r="B500" s="6" t="s">
        <v>140</v>
      </c>
      <c r="C500" s="6" t="s">
        <v>21</v>
      </c>
      <c r="D500" s="6" t="s">
        <v>32</v>
      </c>
      <c r="E500" s="6" t="n">
        <f aca="false">IF($D500="",0,LEN($D500)-LEN(SUBSTITUTE($D500,",",""))+1)</f>
        <v>4</v>
      </c>
      <c r="F500" s="6"/>
    </row>
    <row r="501" customFormat="false" ht="15" hidden="false" customHeight="true" outlineLevel="0" collapsed="false">
      <c r="A501" s="5" t="n">
        <v>45577</v>
      </c>
      <c r="B501" s="6" t="s">
        <v>137</v>
      </c>
      <c r="C501" s="6" t="s">
        <v>33</v>
      </c>
      <c r="D501" s="6" t="s">
        <v>34</v>
      </c>
      <c r="E501" s="6" t="n">
        <f aca="false">IF($D501="",0,LEN($D501)-LEN(SUBSTITUTE($D501,",",""))+1)</f>
        <v>3</v>
      </c>
      <c r="F501" s="6"/>
    </row>
    <row r="502" customFormat="false" ht="15" hidden="false" customHeight="true" outlineLevel="0" collapsed="false">
      <c r="A502" s="5" t="n">
        <v>45577</v>
      </c>
      <c r="B502" s="6" t="s">
        <v>140</v>
      </c>
      <c r="C502" s="6" t="s">
        <v>33</v>
      </c>
      <c r="D502" s="6" t="s">
        <v>34</v>
      </c>
      <c r="E502" s="6" t="n">
        <f aca="false">IF($D502="",0,LEN($D502)-LEN(SUBSTITUTE($D502,",",""))+1)</f>
        <v>3</v>
      </c>
      <c r="F502" s="6"/>
    </row>
    <row r="503" customFormat="false" ht="15" hidden="false" customHeight="true" outlineLevel="0" collapsed="false">
      <c r="A503" s="5" t="n">
        <v>45577</v>
      </c>
      <c r="B503" s="6" t="s">
        <v>54</v>
      </c>
      <c r="C503" s="6" t="s">
        <v>33</v>
      </c>
      <c r="D503" s="6" t="s">
        <v>34</v>
      </c>
      <c r="E503" s="6" t="n">
        <f aca="false">IF($D503="",0,LEN($D503)-LEN(SUBSTITUTE($D503,",",""))+1)</f>
        <v>3</v>
      </c>
      <c r="F503" s="6"/>
    </row>
    <row r="504" customFormat="false" ht="15" hidden="false" customHeight="true" outlineLevel="0" collapsed="false">
      <c r="A504" s="5" t="n">
        <v>45604</v>
      </c>
      <c r="B504" s="6" t="s">
        <v>140</v>
      </c>
      <c r="C504" s="6" t="s">
        <v>33</v>
      </c>
      <c r="D504" s="6" t="s">
        <v>34</v>
      </c>
      <c r="E504" s="6" t="n">
        <f aca="false">IF($D504="",0,LEN($D504)-LEN(SUBSTITUTE($D504,",",""))+1)</f>
        <v>3</v>
      </c>
      <c r="F504" s="6"/>
    </row>
    <row r="505" customFormat="false" ht="15" hidden="false" customHeight="true" outlineLevel="0" collapsed="false">
      <c r="A505" s="5" t="n">
        <v>45613</v>
      </c>
      <c r="B505" s="6" t="s">
        <v>42</v>
      </c>
      <c r="C505" s="6"/>
      <c r="D505" s="6" t="s">
        <v>32</v>
      </c>
      <c r="E505" s="6" t="n">
        <f aca="false">IF($D505="",0,LEN($D505)-LEN(SUBSTITUTE($D505,",",""))+1)</f>
        <v>4</v>
      </c>
      <c r="F505" s="6"/>
    </row>
    <row r="506" customFormat="false" ht="15" hidden="false" customHeight="true" outlineLevel="0" collapsed="false">
      <c r="A506" s="5" t="n">
        <v>45620</v>
      </c>
      <c r="B506" s="6" t="s">
        <v>54</v>
      </c>
      <c r="C506" s="6" t="s">
        <v>33</v>
      </c>
      <c r="D506" s="6" t="s">
        <v>34</v>
      </c>
      <c r="E506" s="6" t="n">
        <f aca="false">IF($D506="",0,LEN($D506)-LEN(SUBSTITUTE($D506,",",""))+1)</f>
        <v>3</v>
      </c>
      <c r="F506" s="6"/>
    </row>
    <row r="507" customFormat="false" ht="15" hidden="false" customHeight="true" outlineLevel="0" collapsed="false">
      <c r="A507" s="5" t="n">
        <v>45620</v>
      </c>
      <c r="B507" s="6" t="s">
        <v>137</v>
      </c>
      <c r="C507" s="6" t="s">
        <v>22</v>
      </c>
      <c r="D507" s="6" t="s">
        <v>34</v>
      </c>
      <c r="E507" s="6" t="n">
        <f aca="false">IF($D507="",0,LEN($D507)-LEN(SUBSTITUTE($D507,",",""))+1)</f>
        <v>3</v>
      </c>
      <c r="F507" s="6"/>
    </row>
    <row r="508" customFormat="false" ht="15" hidden="false" customHeight="true" outlineLevel="0" collapsed="false">
      <c r="A508" s="5" t="n">
        <v>45620</v>
      </c>
      <c r="B508" s="6" t="s">
        <v>157</v>
      </c>
      <c r="C508" s="6" t="s">
        <v>21</v>
      </c>
      <c r="D508" s="6" t="s">
        <v>32</v>
      </c>
      <c r="E508" s="6" t="n">
        <f aca="false">IF($D508="",0,LEN($D508)-LEN(SUBSTITUTE($D508,",",""))+1)</f>
        <v>4</v>
      </c>
      <c r="F508" s="6"/>
    </row>
    <row r="509" customFormat="false" ht="15" hidden="false" customHeight="true" outlineLevel="0" collapsed="false">
      <c r="A509" s="5" t="n">
        <v>45639</v>
      </c>
      <c r="B509" s="6" t="s">
        <v>54</v>
      </c>
      <c r="C509" s="6" t="s">
        <v>22</v>
      </c>
      <c r="D509" s="6" t="s">
        <v>34</v>
      </c>
      <c r="E509" s="6" t="n">
        <f aca="false">IF($D509="",0,LEN($D509)-LEN(SUBSTITUTE($D509,",",""))+1)</f>
        <v>3</v>
      </c>
      <c r="F509" s="6"/>
    </row>
    <row r="510" customFormat="false" ht="15" hidden="false" customHeight="true" outlineLevel="0" collapsed="false">
      <c r="A510" s="5" t="n">
        <v>45639</v>
      </c>
      <c r="B510" s="6" t="s">
        <v>137</v>
      </c>
      <c r="C510" s="6" t="s">
        <v>22</v>
      </c>
      <c r="D510" s="6" t="s">
        <v>34</v>
      </c>
      <c r="E510" s="6" t="n">
        <f aca="false">IF($D510="",0,LEN($D510)-LEN(SUBSTITUTE($D510,",",""))+1)</f>
        <v>3</v>
      </c>
      <c r="F510" s="6"/>
    </row>
    <row r="511" customFormat="false" ht="15" hidden="false" customHeight="true" outlineLevel="0" collapsed="false">
      <c r="A511" s="5" t="n">
        <v>45639</v>
      </c>
      <c r="B511" s="6" t="s">
        <v>157</v>
      </c>
      <c r="C511" s="6" t="s">
        <v>22</v>
      </c>
      <c r="D511" s="6" t="s">
        <v>34</v>
      </c>
      <c r="E511" s="6" t="n">
        <f aca="false">IF($D511="",0,LEN($D511)-LEN(SUBSTITUTE($D511,",",""))+1)</f>
        <v>3</v>
      </c>
      <c r="F511" s="6"/>
    </row>
    <row r="512" customFormat="false" ht="15" hidden="false" customHeight="true" outlineLevel="0" collapsed="false">
      <c r="A512" s="5" t="n">
        <v>45639</v>
      </c>
      <c r="B512" s="6" t="s">
        <v>157</v>
      </c>
      <c r="C512" s="6" t="s">
        <v>21</v>
      </c>
      <c r="D512" s="6" t="s">
        <v>59</v>
      </c>
      <c r="E512" s="6" t="n">
        <f aca="false">IF($D512="",0,LEN($D512)-LEN(SUBSTITUTE($D512,",",""))+1)</f>
        <v>2</v>
      </c>
      <c r="F512" s="6"/>
    </row>
    <row r="513" customFormat="false" ht="15" hidden="false" customHeight="true" outlineLevel="0" collapsed="false">
      <c r="A513" s="5" t="n">
        <v>45646</v>
      </c>
      <c r="B513" s="6" t="s">
        <v>140</v>
      </c>
      <c r="C513" s="6" t="s">
        <v>21</v>
      </c>
      <c r="D513" s="6" t="s">
        <v>34</v>
      </c>
      <c r="E513" s="6" t="n">
        <f aca="false">IF($D513="",0,LEN($D513)-LEN(SUBSTITUTE($D513,",",""))+1)</f>
        <v>3</v>
      </c>
      <c r="F513" s="6"/>
    </row>
    <row r="514" customFormat="false" ht="15" hidden="false" customHeight="true" outlineLevel="0" collapsed="false">
      <c r="A514" s="5" t="n">
        <v>45646</v>
      </c>
      <c r="B514" s="6" t="s">
        <v>54</v>
      </c>
      <c r="C514" s="6" t="s">
        <v>33</v>
      </c>
      <c r="D514" s="6" t="s">
        <v>34</v>
      </c>
      <c r="E514" s="6" t="n">
        <f aca="false">IF($D514="",0,LEN($D514)-LEN(SUBSTITUTE($D514,",",""))+1)</f>
        <v>3</v>
      </c>
      <c r="F514" s="6"/>
    </row>
    <row r="515" customFormat="false" ht="15" hidden="false" customHeight="true" outlineLevel="0" collapsed="false">
      <c r="A515" s="5" t="n">
        <v>45654</v>
      </c>
      <c r="B515" s="6" t="s">
        <v>54</v>
      </c>
      <c r="C515" s="6" t="s">
        <v>21</v>
      </c>
      <c r="D515" s="6" t="s">
        <v>55</v>
      </c>
      <c r="E515" s="6" t="n">
        <f aca="false">IF($D515="",0,LEN($D515)-LEN(SUBSTITUTE($D515,",",""))+1)</f>
        <v>4</v>
      </c>
      <c r="F515" s="6"/>
    </row>
    <row r="516" customFormat="false" ht="15" hidden="false" customHeight="true" outlineLevel="0" collapsed="false">
      <c r="A516" s="5" t="n">
        <v>45654</v>
      </c>
      <c r="B516" s="6" t="s">
        <v>140</v>
      </c>
      <c r="C516" s="6" t="s">
        <v>33</v>
      </c>
      <c r="D516" s="6" t="s">
        <v>32</v>
      </c>
      <c r="E516" s="6" t="n">
        <f aca="false">IF($D516="",0,LEN($D516)-LEN(SUBSTITUTE($D516,",",""))+1)</f>
        <v>4</v>
      </c>
      <c r="F516" s="6"/>
    </row>
    <row r="517" customFormat="false" ht="15" hidden="false" customHeight="true" outlineLevel="0" collapsed="false">
      <c r="A517" s="5" t="n">
        <v>45660</v>
      </c>
      <c r="B517" s="6" t="s">
        <v>136</v>
      </c>
      <c r="C517" s="6" t="s">
        <v>33</v>
      </c>
      <c r="D517" s="6" t="s">
        <v>34</v>
      </c>
      <c r="E517" s="6" t="n">
        <f aca="false">IF($D517="",0,LEN($D517)-LEN(SUBSTITUTE($D517,",",""))+1)</f>
        <v>3</v>
      </c>
      <c r="F517" s="6"/>
    </row>
    <row r="518" customFormat="false" ht="15" hidden="false" customHeight="true" outlineLevel="0" collapsed="false">
      <c r="A518" s="5" t="n">
        <v>45660</v>
      </c>
      <c r="B518" s="6" t="s">
        <v>128</v>
      </c>
      <c r="C518" s="6" t="s">
        <v>22</v>
      </c>
      <c r="D518" s="6" t="s">
        <v>34</v>
      </c>
      <c r="E518" s="6" t="n">
        <f aca="false">IF($D518="",0,LEN($D518)-LEN(SUBSTITUTE($D518,",",""))+1)</f>
        <v>3</v>
      </c>
      <c r="F518" s="6"/>
    </row>
    <row r="519" customFormat="false" ht="15" hidden="false" customHeight="true" outlineLevel="0" collapsed="false">
      <c r="A519" s="5" t="n">
        <v>45660</v>
      </c>
      <c r="B519" s="6" t="s">
        <v>128</v>
      </c>
      <c r="C519" s="6" t="s">
        <v>21</v>
      </c>
      <c r="D519" s="6" t="s">
        <v>34</v>
      </c>
      <c r="E519" s="6" t="n">
        <f aca="false">IF($D519="",0,LEN($D519)-LEN(SUBSTITUTE($D519,",",""))+1)</f>
        <v>3</v>
      </c>
      <c r="F519" s="6"/>
    </row>
    <row r="520" customFormat="false" ht="15" hidden="false" customHeight="true" outlineLevel="0" collapsed="false">
      <c r="A520" s="5" t="n">
        <v>45660</v>
      </c>
      <c r="B520" s="6" t="s">
        <v>104</v>
      </c>
      <c r="C520" s="6" t="s">
        <v>33</v>
      </c>
      <c r="D520" s="6" t="s">
        <v>34</v>
      </c>
      <c r="E520" s="6" t="n">
        <f aca="false">IF($D520="",0,LEN($D520)-LEN(SUBSTITUTE($D520,",",""))+1)</f>
        <v>3</v>
      </c>
      <c r="F520" s="6"/>
    </row>
    <row r="521" customFormat="false" ht="15" hidden="false" customHeight="true" outlineLevel="0" collapsed="false">
      <c r="A521" s="5" t="n">
        <v>45660</v>
      </c>
      <c r="B521" s="6" t="s">
        <v>104</v>
      </c>
      <c r="C521" s="6" t="s">
        <v>33</v>
      </c>
      <c r="D521" s="6" t="s">
        <v>34</v>
      </c>
      <c r="E521" s="6" t="n">
        <f aca="false">IF($D521="",0,LEN($D521)-LEN(SUBSTITUTE($D521,",",""))+1)</f>
        <v>3</v>
      </c>
      <c r="F521" s="6"/>
    </row>
    <row r="522" customFormat="false" ht="15" hidden="false" customHeight="true" outlineLevel="0" collapsed="false">
      <c r="A522" s="5" t="n">
        <v>45667</v>
      </c>
      <c r="B522" s="6" t="s">
        <v>140</v>
      </c>
      <c r="C522" s="6" t="s">
        <v>21</v>
      </c>
      <c r="D522" s="6" t="s">
        <v>59</v>
      </c>
      <c r="E522" s="6" t="n">
        <f aca="false">IF($D522="",0,LEN($D522)-LEN(SUBSTITUTE($D522,",",""))+1)</f>
        <v>2</v>
      </c>
      <c r="F522" s="6"/>
    </row>
    <row r="523" customFormat="false" ht="15" hidden="false" customHeight="true" outlineLevel="0" collapsed="false">
      <c r="A523" s="5" t="n">
        <v>45667</v>
      </c>
      <c r="B523" s="6" t="s">
        <v>104</v>
      </c>
      <c r="C523" s="6" t="s">
        <v>21</v>
      </c>
      <c r="D523" s="6" t="s">
        <v>59</v>
      </c>
      <c r="E523" s="6" t="n">
        <f aca="false">IF($D523="",0,LEN($D523)-LEN(SUBSTITUTE($D523,",",""))+1)</f>
        <v>2</v>
      </c>
      <c r="F523" s="6"/>
    </row>
    <row r="524" customFormat="false" ht="15" hidden="false" customHeight="true" outlineLevel="0" collapsed="false">
      <c r="A524" s="5" t="n">
        <v>45667</v>
      </c>
      <c r="B524" s="6" t="s">
        <v>104</v>
      </c>
      <c r="C524" s="6" t="s">
        <v>21</v>
      </c>
      <c r="D524" s="6" t="s">
        <v>59</v>
      </c>
      <c r="E524" s="6" t="n">
        <f aca="false">IF($D524="",0,LEN($D524)-LEN(SUBSTITUTE($D524,",",""))+1)</f>
        <v>2</v>
      </c>
      <c r="F524" s="6"/>
    </row>
    <row r="525" customFormat="false" ht="15" hidden="false" customHeight="true" outlineLevel="0" collapsed="false">
      <c r="A525" s="5" t="n">
        <v>45667</v>
      </c>
      <c r="B525" s="6" t="s">
        <v>104</v>
      </c>
      <c r="C525" s="6" t="s">
        <v>33</v>
      </c>
      <c r="D525" s="6" t="s">
        <v>59</v>
      </c>
      <c r="E525" s="6" t="n">
        <f aca="false">IF($D525="",0,LEN($D525)-LEN(SUBSTITUTE($D525,",",""))+1)</f>
        <v>2</v>
      </c>
      <c r="F525" s="6"/>
    </row>
    <row r="526" customFormat="false" ht="15" hidden="false" customHeight="true" outlineLevel="0" collapsed="false">
      <c r="A526" s="5" t="n">
        <v>45667</v>
      </c>
      <c r="B526" s="6" t="s">
        <v>128</v>
      </c>
      <c r="C526" s="6" t="s">
        <v>21</v>
      </c>
      <c r="D526" s="6" t="s">
        <v>34</v>
      </c>
      <c r="E526" s="6" t="n">
        <f aca="false">IF($D526="",0,LEN($D526)-LEN(SUBSTITUTE($D526,",",""))+1)</f>
        <v>3</v>
      </c>
      <c r="F526" s="6"/>
    </row>
    <row r="527" customFormat="false" ht="15" hidden="false" customHeight="true" outlineLevel="0" collapsed="false">
      <c r="A527" s="5" t="n">
        <v>45675</v>
      </c>
      <c r="B527" s="6" t="s">
        <v>157</v>
      </c>
      <c r="C527" s="6" t="s">
        <v>33</v>
      </c>
      <c r="D527" s="6" t="s">
        <v>34</v>
      </c>
      <c r="E527" s="6" t="n">
        <f aca="false">IF($D527="",0,LEN($D527)-LEN(SUBSTITUTE($D527,",",""))+1)</f>
        <v>3</v>
      </c>
      <c r="F527" s="6"/>
    </row>
    <row r="528" customFormat="false" ht="15" hidden="false" customHeight="true" outlineLevel="0" collapsed="false">
      <c r="A528" s="5" t="n">
        <v>45675</v>
      </c>
      <c r="B528" s="6" t="s">
        <v>168</v>
      </c>
      <c r="C528" s="6" t="s">
        <v>22</v>
      </c>
      <c r="D528" s="6" t="s">
        <v>34</v>
      </c>
      <c r="E528" s="6" t="n">
        <f aca="false">IF($D528="",0,LEN($D528)-LEN(SUBSTITUTE($D528,",",""))+1)</f>
        <v>3</v>
      </c>
      <c r="F528" s="6" t="s">
        <v>169</v>
      </c>
    </row>
    <row r="529" customFormat="false" ht="15" hidden="false" customHeight="true" outlineLevel="0" collapsed="false">
      <c r="A529" s="5" t="n">
        <v>45675</v>
      </c>
      <c r="B529" s="6" t="s">
        <v>17</v>
      </c>
      <c r="C529" s="6" t="s">
        <v>34</v>
      </c>
      <c r="D529" s="6" t="s">
        <v>34</v>
      </c>
      <c r="E529" s="6" t="n">
        <f aca="false">IF($D529="",0,LEN($D529)-LEN(SUBSTITUTE($D529,",",""))+1)</f>
        <v>3</v>
      </c>
      <c r="F529" s="6"/>
    </row>
    <row r="530" customFormat="false" ht="15" hidden="false" customHeight="true" outlineLevel="0" collapsed="false">
      <c r="A530" s="5" t="n">
        <v>45688</v>
      </c>
      <c r="B530" s="6" t="s">
        <v>154</v>
      </c>
      <c r="C530" s="6" t="s">
        <v>33</v>
      </c>
      <c r="D530" s="6" t="s">
        <v>34</v>
      </c>
      <c r="E530" s="6" t="n">
        <f aca="false">IF($D530="",0,LEN($D530)-LEN(SUBSTITUTE($D530,",",""))+1)</f>
        <v>3</v>
      </c>
      <c r="F530" s="6"/>
    </row>
    <row r="531" customFormat="false" ht="15" hidden="false" customHeight="true" outlineLevel="0" collapsed="false">
      <c r="A531" s="5" t="n">
        <v>45688</v>
      </c>
      <c r="B531" s="6" t="s">
        <v>157</v>
      </c>
      <c r="C531" s="6" t="s">
        <v>21</v>
      </c>
      <c r="D531" s="6" t="s">
        <v>34</v>
      </c>
      <c r="E531" s="6" t="n">
        <f aca="false">IF($D531="",0,LEN($D531)-LEN(SUBSTITUTE($D531,",",""))+1)</f>
        <v>3</v>
      </c>
      <c r="F531" s="6"/>
    </row>
    <row r="532" customFormat="false" ht="15" hidden="false" customHeight="true" outlineLevel="0" collapsed="false">
      <c r="A532" s="5" t="n">
        <v>45695</v>
      </c>
      <c r="B532" s="6" t="s">
        <v>157</v>
      </c>
      <c r="C532" s="6" t="s">
        <v>52</v>
      </c>
      <c r="D532" s="6" t="s">
        <v>145</v>
      </c>
      <c r="E532" s="6" t="n">
        <f aca="false">IF($D532="",0,LEN($D532)-LEN(SUBSTITUTE($D532,",",""))+1)</f>
        <v>4</v>
      </c>
      <c r="F532" s="6"/>
    </row>
    <row r="533" customFormat="false" ht="15" hidden="false" customHeight="true" outlineLevel="0" collapsed="false">
      <c r="A533" s="5" t="n">
        <v>45695</v>
      </c>
      <c r="B533" s="6" t="s">
        <v>128</v>
      </c>
      <c r="C533" s="6" t="s">
        <v>33</v>
      </c>
      <c r="D533" s="6" t="s">
        <v>145</v>
      </c>
      <c r="E533" s="6" t="n">
        <f aca="false">IF($D533="",0,LEN($D533)-LEN(SUBSTITUTE($D533,",",""))+1)</f>
        <v>4</v>
      </c>
      <c r="F533" s="6"/>
    </row>
    <row r="534" customFormat="false" ht="15" hidden="false" customHeight="true" outlineLevel="0" collapsed="false">
      <c r="A534" s="5" t="n">
        <v>45710</v>
      </c>
      <c r="B534" s="6" t="s">
        <v>128</v>
      </c>
      <c r="C534" s="6" t="s">
        <v>21</v>
      </c>
      <c r="D534" s="6" t="s">
        <v>34</v>
      </c>
      <c r="E534" s="6" t="n">
        <f aca="false">IF($D534="",0,LEN($D534)-LEN(SUBSTITUTE($D534,",",""))+1)</f>
        <v>3</v>
      </c>
      <c r="F534" s="6"/>
    </row>
    <row r="535" customFormat="false" ht="15" hidden="false" customHeight="true" outlineLevel="0" collapsed="false">
      <c r="A535" s="5" t="n">
        <v>45710</v>
      </c>
      <c r="B535" s="6" t="s">
        <v>157</v>
      </c>
      <c r="C535" s="6" t="s">
        <v>21</v>
      </c>
      <c r="D535" s="6" t="s">
        <v>34</v>
      </c>
      <c r="E535" s="6" t="n">
        <f aca="false">IF($D535="",0,LEN($D535)-LEN(SUBSTITUTE($D535,",",""))+1)</f>
        <v>3</v>
      </c>
      <c r="F535" s="6"/>
    </row>
    <row r="536" customFormat="false" ht="15" hidden="false" customHeight="true" outlineLevel="0" collapsed="false">
      <c r="A536" s="5" t="n">
        <v>45717</v>
      </c>
      <c r="B536" s="6" t="s">
        <v>54</v>
      </c>
      <c r="C536" s="6" t="s">
        <v>21</v>
      </c>
      <c r="D536" s="6" t="s">
        <v>59</v>
      </c>
      <c r="E536" s="6" t="n">
        <f aca="false">IF($D536="",0,LEN($D536)-LEN(SUBSTITUTE($D536,",",""))+1)</f>
        <v>2</v>
      </c>
      <c r="F536" s="6"/>
    </row>
    <row r="537" customFormat="false" ht="15" hidden="false" customHeight="true" outlineLevel="0" collapsed="false">
      <c r="A537" s="5" t="n">
        <v>45717</v>
      </c>
      <c r="B537" s="6" t="s">
        <v>157</v>
      </c>
      <c r="C537" s="6" t="s">
        <v>33</v>
      </c>
      <c r="D537" s="6" t="s">
        <v>59</v>
      </c>
      <c r="E537" s="6" t="n">
        <f aca="false">IF($D537="",0,LEN($D537)-LEN(SUBSTITUTE($D537,",",""))+1)</f>
        <v>2</v>
      </c>
      <c r="F537" s="6"/>
    </row>
    <row r="538" customFormat="false" ht="15" hidden="false" customHeight="true" outlineLevel="0" collapsed="false">
      <c r="A538" s="5" t="n">
        <v>45717</v>
      </c>
      <c r="B538" s="6" t="s">
        <v>157</v>
      </c>
      <c r="C538" s="6" t="s">
        <v>21</v>
      </c>
      <c r="D538" s="6" t="s">
        <v>59</v>
      </c>
      <c r="E538" s="6" t="n">
        <f aca="false">IF($D538="",0,LEN($D538)-LEN(SUBSTITUTE($D538,",",""))+1)</f>
        <v>2</v>
      </c>
      <c r="F538" s="6"/>
    </row>
    <row r="539" customFormat="false" ht="15" hidden="false" customHeight="true" outlineLevel="0" collapsed="false">
      <c r="A539" s="5" t="n">
        <v>45723</v>
      </c>
      <c r="B539" s="6" t="s">
        <v>140</v>
      </c>
      <c r="C539" s="6" t="s">
        <v>21</v>
      </c>
      <c r="D539" s="6" t="s">
        <v>32</v>
      </c>
      <c r="E539" s="6" t="n">
        <f aca="false">IF($D539="",0,LEN($D539)-LEN(SUBSTITUTE($D539,",",""))+1)</f>
        <v>4</v>
      </c>
      <c r="F539" s="6"/>
    </row>
    <row r="540" customFormat="false" ht="15" hidden="false" customHeight="true" outlineLevel="0" collapsed="false">
      <c r="A540" s="5" t="n">
        <v>45729</v>
      </c>
      <c r="B540" s="6" t="s">
        <v>54</v>
      </c>
      <c r="C540" s="6" t="s">
        <v>33</v>
      </c>
      <c r="D540" s="6" t="s">
        <v>59</v>
      </c>
      <c r="E540" s="6" t="n">
        <f aca="false">IF($D540="",0,LEN($D540)-LEN(SUBSTITUTE($D540,",",""))+1)</f>
        <v>2</v>
      </c>
      <c r="F540" s="6"/>
    </row>
    <row r="541" customFormat="false" ht="15" hidden="false" customHeight="true" outlineLevel="0" collapsed="false">
      <c r="A541" s="5" t="n">
        <v>45729</v>
      </c>
      <c r="B541" s="6" t="s">
        <v>54</v>
      </c>
      <c r="C541" s="6" t="s">
        <v>21</v>
      </c>
      <c r="D541" s="6" t="s">
        <v>59</v>
      </c>
      <c r="E541" s="6" t="n">
        <f aca="false">IF($D541="",0,LEN($D541)-LEN(SUBSTITUTE($D541,",",""))+1)</f>
        <v>2</v>
      </c>
      <c r="F541" s="6"/>
    </row>
    <row r="542" customFormat="false" ht="15" hidden="false" customHeight="true" outlineLevel="0" collapsed="false">
      <c r="A542" s="5" t="n">
        <v>45729</v>
      </c>
      <c r="B542" s="6" t="s">
        <v>157</v>
      </c>
      <c r="C542" s="6" t="s">
        <v>33</v>
      </c>
      <c r="D542" s="6" t="s">
        <v>59</v>
      </c>
      <c r="E542" s="6" t="n">
        <f aca="false">IF($D542="",0,LEN($D542)-LEN(SUBSTITUTE($D542,",",""))+1)</f>
        <v>2</v>
      </c>
      <c r="F542" s="6"/>
    </row>
    <row r="543" customFormat="false" ht="15" hidden="false" customHeight="true" outlineLevel="0" collapsed="false">
      <c r="A543" s="5" t="n">
        <v>45730</v>
      </c>
      <c r="B543" s="6" t="s">
        <v>54</v>
      </c>
      <c r="C543" s="6" t="s">
        <v>33</v>
      </c>
      <c r="D543" s="6" t="s">
        <v>59</v>
      </c>
      <c r="E543" s="6" t="n">
        <f aca="false">IF($D543="",0,LEN($D543)-LEN(SUBSTITUTE($D543,",",""))+1)</f>
        <v>2</v>
      </c>
      <c r="F543" s="6"/>
    </row>
    <row r="544" customFormat="false" ht="15" hidden="false" customHeight="true" outlineLevel="0" collapsed="false">
      <c r="A544" s="5" t="n">
        <v>45730</v>
      </c>
      <c r="B544" s="6" t="s">
        <v>54</v>
      </c>
      <c r="C544" s="6" t="s">
        <v>21</v>
      </c>
      <c r="D544" s="6" t="s">
        <v>59</v>
      </c>
      <c r="E544" s="6" t="n">
        <f aca="false">IF($D544="",0,LEN($D544)-LEN(SUBSTITUTE($D544,",",""))+1)</f>
        <v>2</v>
      </c>
      <c r="F544" s="6"/>
    </row>
    <row r="545" customFormat="false" ht="15" hidden="false" customHeight="true" outlineLevel="0" collapsed="false">
      <c r="A545" s="5" t="n">
        <v>45730</v>
      </c>
      <c r="B545" s="6" t="s">
        <v>157</v>
      </c>
      <c r="C545" s="6" t="s">
        <v>21</v>
      </c>
      <c r="D545" s="6" t="s">
        <v>59</v>
      </c>
      <c r="E545" s="6" t="n">
        <f aca="false">IF($D545="",0,LEN($D545)-LEN(SUBSTITUTE($D545,",",""))+1)</f>
        <v>2</v>
      </c>
      <c r="F545" s="6"/>
    </row>
    <row r="546" customFormat="false" ht="15" hidden="false" customHeight="true" outlineLevel="0" collapsed="false">
      <c r="A546" s="5" t="n">
        <v>45730</v>
      </c>
      <c r="B546" s="6" t="s">
        <v>157</v>
      </c>
      <c r="C546" s="6" t="s">
        <v>21</v>
      </c>
      <c r="D546" s="6" t="s">
        <v>59</v>
      </c>
      <c r="E546" s="6" t="n">
        <f aca="false">IF($D546="",0,LEN($D546)-LEN(SUBSTITUTE($D546,",",""))+1)</f>
        <v>2</v>
      </c>
      <c r="F546" s="6"/>
    </row>
    <row r="547" customFormat="false" ht="15" hidden="false" customHeight="true" outlineLevel="0" collapsed="false">
      <c r="A547" s="5" t="n">
        <v>45730</v>
      </c>
      <c r="B547" s="6" t="s">
        <v>157</v>
      </c>
      <c r="C547" s="6" t="s">
        <v>33</v>
      </c>
      <c r="D547" s="6" t="s">
        <v>59</v>
      </c>
      <c r="E547" s="6" t="n">
        <f aca="false">IF($D547="",0,LEN($D547)-LEN(SUBSTITUTE($D547,",",""))+1)</f>
        <v>2</v>
      </c>
      <c r="F547" s="6"/>
    </row>
    <row r="548" customFormat="false" ht="15" hidden="false" customHeight="true" outlineLevel="0" collapsed="false">
      <c r="A548" s="5" t="n">
        <v>45734</v>
      </c>
      <c r="B548" s="6" t="s">
        <v>157</v>
      </c>
      <c r="C548" s="6" t="s">
        <v>21</v>
      </c>
      <c r="D548" s="6" t="s">
        <v>34</v>
      </c>
      <c r="E548" s="6" t="n">
        <f aca="false">IF($D548="",0,LEN($D548)-LEN(SUBSTITUTE($D548,",",""))+1)</f>
        <v>3</v>
      </c>
      <c r="F548" s="6"/>
    </row>
    <row r="549" customFormat="false" ht="15" hidden="false" customHeight="true" outlineLevel="0" collapsed="false">
      <c r="A549" s="5" t="n">
        <v>45738</v>
      </c>
      <c r="B549" s="6" t="s">
        <v>157</v>
      </c>
      <c r="C549" s="6" t="s">
        <v>21</v>
      </c>
      <c r="D549" s="6" t="s">
        <v>34</v>
      </c>
      <c r="E549" s="6" t="n">
        <f aca="false">IF($D549="",0,LEN($D549)-LEN(SUBSTITUTE($D549,",",""))+1)</f>
        <v>3</v>
      </c>
      <c r="F549" s="6"/>
    </row>
    <row r="550" customFormat="false" ht="15" hidden="false" customHeight="true" outlineLevel="0" collapsed="false">
      <c r="A550" s="5" t="n">
        <v>45738</v>
      </c>
      <c r="B550" s="6" t="s">
        <v>157</v>
      </c>
      <c r="C550" s="6" t="s">
        <v>21</v>
      </c>
      <c r="D550" s="6" t="s">
        <v>34</v>
      </c>
      <c r="E550" s="6" t="n">
        <f aca="false">IF($D550="",0,LEN($D550)-LEN(SUBSTITUTE($D550,",",""))+1)</f>
        <v>3</v>
      </c>
      <c r="F550" s="6"/>
    </row>
    <row r="551" customFormat="false" ht="15" hidden="false" customHeight="true" outlineLevel="0" collapsed="false">
      <c r="A551" s="5" t="n">
        <v>45744</v>
      </c>
      <c r="B551" s="6" t="s">
        <v>128</v>
      </c>
      <c r="C551" s="6" t="s">
        <v>33</v>
      </c>
      <c r="D551" s="6" t="s">
        <v>34</v>
      </c>
      <c r="E551" s="6" t="n">
        <f aca="false">IF($D551="",0,LEN($D551)-LEN(SUBSTITUTE($D551,",",""))+1)</f>
        <v>3</v>
      </c>
      <c r="F551" s="6"/>
    </row>
    <row r="552" customFormat="false" ht="15" hidden="false" customHeight="true" outlineLevel="0" collapsed="false">
      <c r="A552" s="5" t="n">
        <v>45744</v>
      </c>
      <c r="B552" s="6" t="s">
        <v>54</v>
      </c>
      <c r="C552" s="6" t="s">
        <v>22</v>
      </c>
      <c r="D552" s="6" t="s">
        <v>34</v>
      </c>
      <c r="E552" s="6" t="n">
        <f aca="false">IF($D552="",0,LEN($D552)-LEN(SUBSTITUTE($D552,",",""))+1)</f>
        <v>3</v>
      </c>
      <c r="F552" s="6"/>
    </row>
    <row r="553" customFormat="false" ht="15" hidden="false" customHeight="true" outlineLevel="0" collapsed="false">
      <c r="A553" s="5" t="n">
        <v>45744</v>
      </c>
      <c r="B553" s="6" t="s">
        <v>128</v>
      </c>
      <c r="C553" s="6" t="s">
        <v>33</v>
      </c>
      <c r="D553" s="6" t="s">
        <v>34</v>
      </c>
      <c r="E553" s="6" t="n">
        <f aca="false">IF($D553="",0,LEN($D553)-LEN(SUBSTITUTE($D553,",",""))+1)</f>
        <v>3</v>
      </c>
      <c r="F553" s="6"/>
    </row>
    <row r="554" customFormat="false" ht="15" hidden="false" customHeight="true" outlineLevel="0" collapsed="false">
      <c r="A554" s="5" t="n">
        <v>45744</v>
      </c>
      <c r="B554" s="6" t="s">
        <v>157</v>
      </c>
      <c r="C554" s="6" t="s">
        <v>33</v>
      </c>
      <c r="D554" s="6" t="s">
        <v>34</v>
      </c>
      <c r="E554" s="6" t="n">
        <f aca="false">IF($D554="",0,LEN($D554)-LEN(SUBSTITUTE($D554,",",""))+1)</f>
        <v>3</v>
      </c>
      <c r="F554" s="6"/>
    </row>
    <row r="555" customFormat="false" ht="15" hidden="false" customHeight="true" outlineLevel="0" collapsed="false">
      <c r="A555" s="5" t="n">
        <v>45745</v>
      </c>
      <c r="B555" s="6" t="s">
        <v>157</v>
      </c>
      <c r="C555" s="6" t="s">
        <v>22</v>
      </c>
      <c r="D555" s="6" t="s">
        <v>34</v>
      </c>
      <c r="E555" s="6" t="n">
        <f aca="false">IF($D555="",0,LEN($D555)-LEN(SUBSTITUTE($D555,",",""))+1)</f>
        <v>3</v>
      </c>
      <c r="F555" s="6" t="s">
        <v>170</v>
      </c>
    </row>
    <row r="556" customFormat="false" ht="15" hidden="false" customHeight="true" outlineLevel="0" collapsed="false">
      <c r="A556" s="5" t="n">
        <v>45745</v>
      </c>
      <c r="B556" s="6" t="s">
        <v>104</v>
      </c>
      <c r="C556" s="6" t="s">
        <v>21</v>
      </c>
      <c r="D556" s="6" t="s">
        <v>59</v>
      </c>
      <c r="E556" s="6" t="n">
        <f aca="false">IF($D556="",0,LEN($D556)-LEN(SUBSTITUTE($D556,",",""))+1)</f>
        <v>2</v>
      </c>
      <c r="F556" s="6"/>
    </row>
    <row r="557" customFormat="false" ht="15" hidden="false" customHeight="true" outlineLevel="0" collapsed="false">
      <c r="A557" s="5" t="n">
        <v>45745</v>
      </c>
      <c r="B557" s="6" t="s">
        <v>104</v>
      </c>
      <c r="C557" s="6" t="s">
        <v>33</v>
      </c>
      <c r="D557" s="6" t="s">
        <v>59</v>
      </c>
      <c r="E557" s="6" t="n">
        <f aca="false">IF($D557="",0,LEN($D557)-LEN(SUBSTITUTE($D557,",",""))+1)</f>
        <v>2</v>
      </c>
      <c r="F557" s="6"/>
    </row>
    <row r="558" customFormat="false" ht="15" hidden="false" customHeight="true" outlineLevel="0" collapsed="false">
      <c r="A558" s="5" t="n">
        <v>45745</v>
      </c>
      <c r="B558" s="6" t="s">
        <v>54</v>
      </c>
      <c r="C558" s="6" t="s">
        <v>33</v>
      </c>
      <c r="D558" s="6" t="s">
        <v>59</v>
      </c>
      <c r="E558" s="6" t="n">
        <f aca="false">IF($D558="",0,LEN($D558)-LEN(SUBSTITUTE($D558,",",""))+1)</f>
        <v>2</v>
      </c>
      <c r="F558" s="6"/>
    </row>
    <row r="559" customFormat="false" ht="15" hidden="false" customHeight="true" outlineLevel="0" collapsed="false">
      <c r="A559" s="5" t="n">
        <v>45750</v>
      </c>
      <c r="B559" s="6" t="s">
        <v>54</v>
      </c>
      <c r="C559" s="6" t="s">
        <v>33</v>
      </c>
      <c r="D559" s="6" t="s">
        <v>32</v>
      </c>
      <c r="E559" s="6" t="n">
        <f aca="false">IF($D559="",0,LEN($D559)-LEN(SUBSTITUTE($D559,",",""))+1)</f>
        <v>4</v>
      </c>
      <c r="F559" s="6"/>
    </row>
    <row r="560" customFormat="false" ht="15" hidden="false" customHeight="true" outlineLevel="0" collapsed="false">
      <c r="A560" s="5" t="n">
        <v>45750</v>
      </c>
      <c r="B560" s="6" t="s">
        <v>30</v>
      </c>
      <c r="C560" s="6" t="s">
        <v>33</v>
      </c>
      <c r="D560" s="6" t="s">
        <v>32</v>
      </c>
      <c r="E560" s="6" t="n">
        <f aca="false">IF($D560="",0,LEN($D560)-LEN(SUBSTITUTE($D560,",",""))+1)</f>
        <v>4</v>
      </c>
      <c r="F560" s="6"/>
    </row>
    <row r="561" customFormat="false" ht="15" hidden="false" customHeight="true" outlineLevel="0" collapsed="false">
      <c r="A561" s="5" t="n">
        <v>45750</v>
      </c>
      <c r="B561" s="6" t="s">
        <v>157</v>
      </c>
      <c r="C561" s="6" t="s">
        <v>35</v>
      </c>
      <c r="D561" s="6" t="s">
        <v>32</v>
      </c>
      <c r="E561" s="6" t="n">
        <f aca="false">IF($D561="",0,LEN($D561)-LEN(SUBSTITUTE($D561,",",""))+1)</f>
        <v>4</v>
      </c>
      <c r="F561" s="6" t="s">
        <v>171</v>
      </c>
    </row>
    <row r="562" customFormat="false" ht="15" hidden="false" customHeight="true" outlineLevel="0" collapsed="false">
      <c r="A562" s="5" t="n">
        <v>45752</v>
      </c>
      <c r="B562" s="6" t="s">
        <v>54</v>
      </c>
      <c r="C562" s="6" t="s">
        <v>21</v>
      </c>
      <c r="D562" s="6" t="s">
        <v>59</v>
      </c>
      <c r="E562" s="6" t="n">
        <f aca="false">IF($D562="",0,LEN($D562)-LEN(SUBSTITUTE($D562,",",""))+1)</f>
        <v>2</v>
      </c>
      <c r="F562" s="6"/>
    </row>
    <row r="563" customFormat="false" ht="15" hidden="false" customHeight="true" outlineLevel="0" collapsed="false">
      <c r="A563" s="5" t="n">
        <v>45752</v>
      </c>
      <c r="B563" s="6" t="s">
        <v>54</v>
      </c>
      <c r="C563" s="6" t="s">
        <v>21</v>
      </c>
      <c r="D563" s="6" t="s">
        <v>59</v>
      </c>
      <c r="E563" s="6" t="n">
        <f aca="false">IF($D563="",0,LEN($D563)-LEN(SUBSTITUTE($D563,",",""))+1)</f>
        <v>2</v>
      </c>
      <c r="F563" s="6"/>
    </row>
    <row r="564" customFormat="false" ht="15" hidden="false" customHeight="true" outlineLevel="0" collapsed="false">
      <c r="A564" s="5" t="n">
        <v>45752</v>
      </c>
      <c r="B564" s="6" t="s">
        <v>54</v>
      </c>
      <c r="C564" s="6" t="s">
        <v>21</v>
      </c>
      <c r="D564" s="6" t="s">
        <v>59</v>
      </c>
      <c r="E564" s="6" t="n">
        <f aca="false">IF($D564="",0,LEN($D564)-LEN(SUBSTITUTE($D564,",",""))+1)</f>
        <v>2</v>
      </c>
      <c r="F564" s="6"/>
    </row>
    <row r="565" customFormat="false" ht="15" hidden="false" customHeight="true" outlineLevel="0" collapsed="false">
      <c r="A565" s="5" t="n">
        <v>45752</v>
      </c>
      <c r="B565" s="6" t="s">
        <v>157</v>
      </c>
      <c r="C565" s="6" t="s">
        <v>21</v>
      </c>
      <c r="D565" s="6" t="s">
        <v>59</v>
      </c>
      <c r="E565" s="6" t="n">
        <f aca="false">IF($D565="",0,LEN($D565)-LEN(SUBSTITUTE($D565,",",""))+1)</f>
        <v>2</v>
      </c>
      <c r="F565" s="6"/>
    </row>
    <row r="566" customFormat="false" ht="15" hidden="false" customHeight="true" outlineLevel="0" collapsed="false">
      <c r="A566" s="5" t="n">
        <v>45752</v>
      </c>
      <c r="B566" s="6" t="s">
        <v>54</v>
      </c>
      <c r="C566" s="6" t="s">
        <v>21</v>
      </c>
      <c r="D566" s="6" t="s">
        <v>59</v>
      </c>
      <c r="E566" s="6" t="n">
        <f aca="false">IF($D566="",0,LEN($D566)-LEN(SUBSTITUTE($D566,",",""))+1)</f>
        <v>2</v>
      </c>
      <c r="F566" s="6"/>
    </row>
    <row r="567" customFormat="false" ht="15" hidden="false" customHeight="true" outlineLevel="0" collapsed="false">
      <c r="A567" s="5" t="n">
        <v>45760</v>
      </c>
      <c r="B567" s="6" t="s">
        <v>54</v>
      </c>
      <c r="C567" s="6" t="s">
        <v>33</v>
      </c>
      <c r="D567" s="6" t="s">
        <v>59</v>
      </c>
      <c r="E567" s="6" t="n">
        <f aca="false">IF($D567="",0,LEN($D567)-LEN(SUBSTITUTE($D567,",",""))+1)</f>
        <v>2</v>
      </c>
      <c r="F567" s="6"/>
    </row>
    <row r="568" customFormat="false" ht="15" hidden="false" customHeight="true" outlineLevel="0" collapsed="false">
      <c r="A568" s="5" t="n">
        <v>45760</v>
      </c>
      <c r="B568" s="6" t="s">
        <v>54</v>
      </c>
      <c r="C568" s="6" t="s">
        <v>33</v>
      </c>
      <c r="D568" s="6" t="s">
        <v>59</v>
      </c>
      <c r="E568" s="6" t="n">
        <f aca="false">IF($D568="",0,LEN($D568)-LEN(SUBSTITUTE($D568,",",""))+1)</f>
        <v>2</v>
      </c>
      <c r="F568" s="6"/>
    </row>
    <row r="569" customFormat="false" ht="15" hidden="false" customHeight="true" outlineLevel="0" collapsed="false">
      <c r="A569" s="5" t="n">
        <v>45760</v>
      </c>
      <c r="B569" s="6" t="s">
        <v>157</v>
      </c>
      <c r="C569" s="6" t="s">
        <v>33</v>
      </c>
      <c r="D569" s="6" t="s">
        <v>59</v>
      </c>
      <c r="E569" s="6" t="n">
        <f aca="false">IF($D569="",0,LEN($D569)-LEN(SUBSTITUTE($D569,",",""))+1)</f>
        <v>2</v>
      </c>
      <c r="F569" s="6"/>
    </row>
    <row r="570" customFormat="false" ht="15" hidden="false" customHeight="true" outlineLevel="0" collapsed="false">
      <c r="A570" s="5" t="n">
        <v>45760</v>
      </c>
      <c r="B570" s="6" t="s">
        <v>157</v>
      </c>
      <c r="C570" s="6" t="s">
        <v>21</v>
      </c>
      <c r="D570" s="6" t="s">
        <v>59</v>
      </c>
      <c r="E570" s="6" t="n">
        <f aca="false">IF($D570="",0,LEN($D570)-LEN(SUBSTITUTE($D570,",",""))+1)</f>
        <v>2</v>
      </c>
      <c r="F570" s="6"/>
    </row>
    <row r="571" customFormat="false" ht="15" hidden="false" customHeight="true" outlineLevel="0" collapsed="false">
      <c r="A571" s="5" t="n">
        <v>45764</v>
      </c>
      <c r="B571" s="6" t="s">
        <v>128</v>
      </c>
      <c r="C571" s="6" t="s">
        <v>35</v>
      </c>
      <c r="D571" s="6" t="s">
        <v>89</v>
      </c>
      <c r="E571" s="6" t="n">
        <f aca="false">IF($D571="",0,LEN($D571)-LEN(SUBSTITUTE($D571,",",""))+1)</f>
        <v>4</v>
      </c>
      <c r="F571" s="6"/>
    </row>
    <row r="572" customFormat="false" ht="15" hidden="false" customHeight="true" outlineLevel="0" collapsed="false">
      <c r="A572" s="5" t="n">
        <v>45764</v>
      </c>
      <c r="B572" s="6" t="s">
        <v>128</v>
      </c>
      <c r="C572" s="6" t="s">
        <v>21</v>
      </c>
      <c r="D572" s="6" t="s">
        <v>89</v>
      </c>
      <c r="E572" s="6" t="n">
        <f aca="false">IF($D572="",0,LEN($D572)-LEN(SUBSTITUTE($D572,",",""))+1)</f>
        <v>4</v>
      </c>
      <c r="F572" s="6"/>
    </row>
    <row r="573" customFormat="false" ht="15" hidden="false" customHeight="true" outlineLevel="0" collapsed="false">
      <c r="A573" s="5" t="n">
        <v>45764</v>
      </c>
      <c r="B573" s="6" t="s">
        <v>157</v>
      </c>
      <c r="C573" s="6" t="s">
        <v>33</v>
      </c>
      <c r="D573" s="6" t="s">
        <v>76</v>
      </c>
      <c r="E573" s="6" t="n">
        <f aca="false">IF($D573="",0,LEN($D573)-LEN(SUBSTITUTE($D573,",",""))+1)</f>
        <v>5</v>
      </c>
      <c r="F573" s="6"/>
    </row>
    <row r="574" customFormat="false" ht="15" hidden="false" customHeight="true" outlineLevel="0" collapsed="false">
      <c r="A574" s="5" t="n">
        <v>45764</v>
      </c>
      <c r="B574" s="6" t="s">
        <v>157</v>
      </c>
      <c r="C574" s="6" t="s">
        <v>33</v>
      </c>
      <c r="D574" s="6" t="s">
        <v>59</v>
      </c>
      <c r="E574" s="6" t="n">
        <f aca="false">IF($D574="",0,LEN($D574)-LEN(SUBSTITUTE($D574,",",""))+1)</f>
        <v>2</v>
      </c>
      <c r="F574" s="6"/>
    </row>
    <row r="575" customFormat="false" ht="15" hidden="false" customHeight="true" outlineLevel="0" collapsed="false">
      <c r="A575" s="5" t="n">
        <v>45767</v>
      </c>
      <c r="B575" s="6" t="s">
        <v>54</v>
      </c>
      <c r="C575" s="6" t="s">
        <v>21</v>
      </c>
      <c r="D575" s="6" t="s">
        <v>59</v>
      </c>
      <c r="E575" s="6" t="n">
        <f aca="false">IF($D575="",0,LEN($D575)-LEN(SUBSTITUTE($D575,",",""))+1)</f>
        <v>2</v>
      </c>
      <c r="F575" s="6"/>
    </row>
    <row r="576" customFormat="false" ht="15" hidden="false" customHeight="true" outlineLevel="0" collapsed="false">
      <c r="A576" s="5" t="n">
        <v>45767</v>
      </c>
      <c r="B576" s="6" t="s">
        <v>157</v>
      </c>
      <c r="C576" s="6" t="s">
        <v>33</v>
      </c>
      <c r="D576" s="6" t="s">
        <v>59</v>
      </c>
      <c r="E576" s="6" t="n">
        <f aca="false">IF($D576="",0,LEN($D576)-LEN(SUBSTITUTE($D576,",",""))+1)</f>
        <v>2</v>
      </c>
      <c r="F576" s="6"/>
    </row>
    <row r="577" customFormat="false" ht="15" hidden="false" customHeight="true" outlineLevel="0" collapsed="false">
      <c r="A577" s="5" t="n">
        <v>45767</v>
      </c>
      <c r="B577" s="6" t="s">
        <v>157</v>
      </c>
      <c r="C577" s="6" t="s">
        <v>33</v>
      </c>
      <c r="D577" s="6" t="s">
        <v>59</v>
      </c>
      <c r="E577" s="6" t="n">
        <f aca="false">IF($D577="",0,LEN($D577)-LEN(SUBSTITUTE($D577,",",""))+1)</f>
        <v>2</v>
      </c>
      <c r="F577" s="6"/>
    </row>
    <row r="578" customFormat="false" ht="15" hidden="false" customHeight="true" outlineLevel="0" collapsed="false">
      <c r="A578" s="5" t="n">
        <v>45771</v>
      </c>
      <c r="B578" s="6" t="s">
        <v>54</v>
      </c>
      <c r="C578" s="6" t="s">
        <v>21</v>
      </c>
      <c r="D578" s="6" t="s">
        <v>59</v>
      </c>
      <c r="E578" s="6" t="n">
        <f aca="false">IF($D578="",0,LEN($D578)-LEN(SUBSTITUTE($D578,",",""))+1)</f>
        <v>2</v>
      </c>
      <c r="F578" s="6"/>
    </row>
    <row r="579" customFormat="false" ht="15" hidden="false" customHeight="true" outlineLevel="0" collapsed="false">
      <c r="A579" s="5" t="n">
        <v>45771</v>
      </c>
      <c r="B579" s="6" t="s">
        <v>157</v>
      </c>
      <c r="C579" s="6" t="s">
        <v>33</v>
      </c>
      <c r="D579" s="6" t="s">
        <v>59</v>
      </c>
      <c r="E579" s="6" t="n">
        <f aca="false">IF($D579="",0,LEN($D579)-LEN(SUBSTITUTE($D579,",",""))+1)</f>
        <v>2</v>
      </c>
      <c r="F579" s="6"/>
    </row>
    <row r="580" customFormat="false" ht="15" hidden="false" customHeight="true" outlineLevel="0" collapsed="false">
      <c r="A580" s="5" t="n">
        <v>45772</v>
      </c>
      <c r="B580" s="6" t="s">
        <v>54</v>
      </c>
      <c r="C580" s="6" t="s">
        <v>33</v>
      </c>
      <c r="D580" s="6" t="s">
        <v>59</v>
      </c>
      <c r="E580" s="6" t="n">
        <f aca="false">IF($D580="",0,LEN($D580)-LEN(SUBSTITUTE($D580,",",""))+1)</f>
        <v>2</v>
      </c>
      <c r="F580" s="6"/>
    </row>
    <row r="581" customFormat="false" ht="15" hidden="false" customHeight="true" outlineLevel="0" collapsed="false">
      <c r="A581" s="5" t="n">
        <v>45772</v>
      </c>
      <c r="B581" s="6" t="s">
        <v>54</v>
      </c>
      <c r="C581" s="6" t="s">
        <v>21</v>
      </c>
      <c r="D581" s="6" t="s">
        <v>59</v>
      </c>
      <c r="E581" s="6" t="n">
        <f aca="false">IF($D581="",0,LEN($D581)-LEN(SUBSTITUTE($D581,",",""))+1)</f>
        <v>2</v>
      </c>
      <c r="F581" s="6"/>
    </row>
    <row r="582" customFormat="false" ht="15" hidden="false" customHeight="true" outlineLevel="0" collapsed="false">
      <c r="A582" s="5" t="n">
        <v>45772</v>
      </c>
      <c r="B582" s="6" t="s">
        <v>157</v>
      </c>
      <c r="C582" s="6" t="s">
        <v>21</v>
      </c>
      <c r="D582" s="6" t="s">
        <v>59</v>
      </c>
      <c r="E582" s="6" t="n">
        <f aca="false">IF($D582="",0,LEN($D582)-LEN(SUBSTITUTE($D582,",",""))+1)</f>
        <v>2</v>
      </c>
      <c r="F582" s="6"/>
    </row>
    <row r="583" customFormat="false" ht="15" hidden="false" customHeight="true" outlineLevel="0" collapsed="false">
      <c r="A583" s="5" t="n">
        <v>45779</v>
      </c>
      <c r="B583" s="6" t="s">
        <v>54</v>
      </c>
      <c r="C583" s="6" t="s">
        <v>33</v>
      </c>
      <c r="D583" s="6" t="s">
        <v>59</v>
      </c>
      <c r="E583" s="6" t="n">
        <f aca="false">IF($D583="",0,LEN($D583)-LEN(SUBSTITUTE($D583,",",""))+1)</f>
        <v>2</v>
      </c>
      <c r="F583" s="6"/>
    </row>
    <row r="584" customFormat="false" ht="15" hidden="false" customHeight="true" outlineLevel="0" collapsed="false">
      <c r="A584" s="5" t="n">
        <v>45779</v>
      </c>
      <c r="B584" s="6" t="s">
        <v>157</v>
      </c>
      <c r="C584" s="6" t="s">
        <v>21</v>
      </c>
      <c r="D584" s="6" t="s">
        <v>59</v>
      </c>
      <c r="E584" s="6" t="n">
        <f aca="false">IF($D584="",0,LEN($D584)-LEN(SUBSTITUTE($D584,",",""))+1)</f>
        <v>2</v>
      </c>
      <c r="F584" s="6"/>
    </row>
    <row r="585" customFormat="false" ht="15" hidden="false" customHeight="true" outlineLevel="0" collapsed="false">
      <c r="A585" s="5" t="n">
        <v>45779</v>
      </c>
      <c r="B585" s="6" t="s">
        <v>157</v>
      </c>
      <c r="C585" s="6" t="s">
        <v>33</v>
      </c>
      <c r="D585" s="6" t="s">
        <v>59</v>
      </c>
      <c r="E585" s="6" t="n">
        <f aca="false">IF($D585="",0,LEN($D585)-LEN(SUBSTITUTE($D585,",",""))+1)</f>
        <v>2</v>
      </c>
      <c r="F585" s="6"/>
    </row>
    <row r="586" customFormat="false" ht="15" hidden="false" customHeight="true" outlineLevel="0" collapsed="false">
      <c r="A586" s="5" t="n">
        <v>45785</v>
      </c>
      <c r="B586" s="6" t="s">
        <v>172</v>
      </c>
      <c r="C586" s="6" t="s">
        <v>35</v>
      </c>
      <c r="D586" s="6" t="s">
        <v>56</v>
      </c>
      <c r="E586" s="6" t="n">
        <f aca="false">IF($D586="",0,LEN($D586)-LEN(SUBSTITUTE($D586,",",""))+1)</f>
        <v>3</v>
      </c>
      <c r="F586" s="6" t="s">
        <v>173</v>
      </c>
    </row>
    <row r="587" customFormat="false" ht="15" hidden="false" customHeight="true" outlineLevel="0" collapsed="false">
      <c r="A587" s="5" t="n">
        <v>45786</v>
      </c>
      <c r="B587" s="6" t="s">
        <v>54</v>
      </c>
      <c r="C587" s="6" t="s">
        <v>21</v>
      </c>
      <c r="D587" s="6" t="s">
        <v>59</v>
      </c>
      <c r="E587" s="6" t="n">
        <f aca="false">IF($D587="",0,LEN($D587)-LEN(SUBSTITUTE($D587,",",""))+1)</f>
        <v>2</v>
      </c>
      <c r="F587" s="6"/>
    </row>
    <row r="588" customFormat="false" ht="15" hidden="false" customHeight="true" outlineLevel="0" collapsed="false">
      <c r="A588" s="5" t="n">
        <v>45786</v>
      </c>
      <c r="B588" s="6" t="s">
        <v>172</v>
      </c>
      <c r="C588" s="6" t="s">
        <v>21</v>
      </c>
      <c r="D588" s="6" t="s">
        <v>59</v>
      </c>
      <c r="E588" s="6" t="n">
        <f aca="false">IF($D588="",0,LEN($D588)-LEN(SUBSTITUTE($D588,",",""))+1)</f>
        <v>2</v>
      </c>
      <c r="F588" s="6"/>
    </row>
    <row r="589" customFormat="false" ht="15" hidden="false" customHeight="true" outlineLevel="0" collapsed="false">
      <c r="A589" s="5" t="n">
        <v>45793</v>
      </c>
      <c r="B589" s="6" t="s">
        <v>172</v>
      </c>
      <c r="C589" s="6" t="s">
        <v>33</v>
      </c>
      <c r="D589" s="6" t="s">
        <v>34</v>
      </c>
      <c r="E589" s="6" t="n">
        <f aca="false">IF($D589="",0,LEN($D589)-LEN(SUBSTITUTE($D589,",",""))+1)</f>
        <v>3</v>
      </c>
      <c r="F589" s="6"/>
    </row>
    <row r="590" customFormat="false" ht="15" hidden="false" customHeight="true" outlineLevel="0" collapsed="false">
      <c r="A590" s="5" t="n">
        <v>45795</v>
      </c>
      <c r="B590" s="6" t="s">
        <v>172</v>
      </c>
      <c r="C590" s="6" t="s">
        <v>22</v>
      </c>
      <c r="D590" s="6" t="s">
        <v>174</v>
      </c>
      <c r="E590" s="6" t="n">
        <f aca="false">IF($D590="",0,LEN($D590)-LEN(SUBSTITUTE($D590,",",""))+1)</f>
        <v>4</v>
      </c>
      <c r="F590" s="6"/>
    </row>
    <row r="591" customFormat="false" ht="15" hidden="false" customHeight="true" outlineLevel="0" collapsed="false">
      <c r="A591" s="5" t="n">
        <v>45800</v>
      </c>
      <c r="B591" s="6" t="s">
        <v>172</v>
      </c>
      <c r="C591" s="6" t="s">
        <v>21</v>
      </c>
      <c r="D591" s="6" t="s">
        <v>175</v>
      </c>
      <c r="E591" s="6" t="n">
        <f aca="false">IF($D591="",0,LEN($D591)-LEN(SUBSTITUTE($D591,",",""))+1)</f>
        <v>4</v>
      </c>
      <c r="F591" s="6"/>
    </row>
    <row r="592" customFormat="false" ht="15" hidden="false" customHeight="true" outlineLevel="0" collapsed="false">
      <c r="A592" s="5" t="n">
        <v>45800</v>
      </c>
      <c r="B592" s="6" t="s">
        <v>54</v>
      </c>
      <c r="C592" s="6" t="s">
        <v>21</v>
      </c>
      <c r="D592" s="6" t="s">
        <v>59</v>
      </c>
      <c r="E592" s="6" t="n">
        <f aca="false">IF($D592="",0,LEN($D592)-LEN(SUBSTITUTE($D592,",",""))+1)</f>
        <v>2</v>
      </c>
      <c r="F592" s="6"/>
    </row>
    <row r="593" customFormat="false" ht="15" hidden="false" customHeight="true" outlineLevel="0" collapsed="false">
      <c r="A593" s="5" t="n">
        <v>45807</v>
      </c>
      <c r="B593" s="6" t="s">
        <v>172</v>
      </c>
      <c r="C593" s="6" t="s">
        <v>21</v>
      </c>
      <c r="D593" s="6" t="s">
        <v>34</v>
      </c>
      <c r="E593" s="6" t="n">
        <f aca="false">IF($D593="",0,LEN($D593)-LEN(SUBSTITUTE($D593,",",""))+1)</f>
        <v>3</v>
      </c>
      <c r="F593" s="6" t="s">
        <v>176</v>
      </c>
    </row>
    <row r="594" customFormat="false" ht="15" hidden="false" customHeight="true" outlineLevel="0" collapsed="false">
      <c r="A594" s="5" t="n">
        <v>45821</v>
      </c>
      <c r="B594" s="6" t="s">
        <v>172</v>
      </c>
      <c r="C594" s="6" t="s">
        <v>33</v>
      </c>
      <c r="D594" s="6" t="s">
        <v>34</v>
      </c>
      <c r="E594" s="6" t="n">
        <f aca="false">IF($D594="",0,LEN($D594)-LEN(SUBSTITUTE($D594,",",""))+1)</f>
        <v>3</v>
      </c>
      <c r="F594" s="6"/>
    </row>
    <row r="595" customFormat="false" ht="15" hidden="false" customHeight="true" outlineLevel="0" collapsed="false">
      <c r="A595" s="5" t="n">
        <v>45821</v>
      </c>
      <c r="B595" s="6" t="s">
        <v>54</v>
      </c>
      <c r="C595" s="6" t="s">
        <v>33</v>
      </c>
      <c r="D595" s="6" t="s">
        <v>34</v>
      </c>
      <c r="E595" s="6" t="n">
        <f aca="false">IF($D595="",0,LEN($D595)-LEN(SUBSTITUTE($D595,",",""))+1)</f>
        <v>3</v>
      </c>
      <c r="F595" s="6"/>
    </row>
    <row r="596" customFormat="false" ht="15" hidden="false" customHeight="true" outlineLevel="0" collapsed="false">
      <c r="A596" s="5" t="n">
        <v>45828</v>
      </c>
      <c r="B596" s="6" t="s">
        <v>157</v>
      </c>
      <c r="C596" s="6" t="s">
        <v>33</v>
      </c>
      <c r="D596" s="6" t="s">
        <v>174</v>
      </c>
      <c r="E596" s="6" t="n">
        <f aca="false">IF($D596="",0,LEN($D596)-LEN(SUBSTITUTE($D596,",",""))+1)</f>
        <v>4</v>
      </c>
      <c r="F596" s="6"/>
    </row>
    <row r="597" customFormat="false" ht="15" hidden="false" customHeight="true" outlineLevel="0" collapsed="false">
      <c r="A597" s="5" t="n">
        <v>45828</v>
      </c>
      <c r="B597" s="6" t="s">
        <v>54</v>
      </c>
      <c r="C597" s="6" t="s">
        <v>21</v>
      </c>
      <c r="D597" s="6" t="s">
        <v>59</v>
      </c>
      <c r="E597" s="6" t="n">
        <f aca="false">IF($D597="",0,LEN($D597)-LEN(SUBSTITUTE($D597,",",""))+1)</f>
        <v>2</v>
      </c>
      <c r="F597" s="6"/>
    </row>
    <row r="598" customFormat="false" ht="15" hidden="false" customHeight="true" outlineLevel="0" collapsed="false">
      <c r="A598" s="5" t="n">
        <v>45836</v>
      </c>
      <c r="B598" s="6" t="s">
        <v>172</v>
      </c>
      <c r="C598" s="6" t="s">
        <v>33</v>
      </c>
      <c r="D598" s="6" t="s">
        <v>174</v>
      </c>
      <c r="E598" s="6" t="n">
        <f aca="false">IF($D598="",0,LEN($D598)-LEN(SUBSTITUTE($D598,",",""))+1)</f>
        <v>4</v>
      </c>
      <c r="F598" s="6"/>
    </row>
    <row r="599" customFormat="false" ht="15" hidden="false" customHeight="true" outlineLevel="0" collapsed="false">
      <c r="A599" s="5" t="n">
        <v>45836</v>
      </c>
      <c r="B599" s="6" t="s">
        <v>54</v>
      </c>
      <c r="C599" s="6" t="s">
        <v>21</v>
      </c>
      <c r="D599" s="6" t="s">
        <v>59</v>
      </c>
      <c r="E599" s="6" t="n">
        <f aca="false">IF($D599="",0,LEN($D599)-LEN(SUBSTITUTE($D599,",",""))+1)</f>
        <v>2</v>
      </c>
      <c r="F599" s="6"/>
    </row>
    <row r="600" customFormat="false" ht="15" hidden="false" customHeight="true" outlineLevel="0" collapsed="false">
      <c r="A600" s="5" t="n">
        <v>45842</v>
      </c>
      <c r="B600" s="6" t="s">
        <v>157</v>
      </c>
      <c r="C600" s="6" t="s">
        <v>33</v>
      </c>
      <c r="D600" s="6" t="s">
        <v>59</v>
      </c>
      <c r="E600" s="6" t="n">
        <f aca="false">IF($D600="",0,LEN($D600)-LEN(SUBSTITUTE($D600,",",""))+1)</f>
        <v>2</v>
      </c>
      <c r="F600" s="6"/>
    </row>
    <row r="601" customFormat="false" ht="15" hidden="false" customHeight="true" outlineLevel="0" collapsed="false">
      <c r="A601" s="5" t="n">
        <v>45842</v>
      </c>
      <c r="B601" s="6" t="s">
        <v>157</v>
      </c>
      <c r="C601" s="6" t="s">
        <v>21</v>
      </c>
      <c r="D601" s="6" t="s">
        <v>59</v>
      </c>
      <c r="E601" s="6" t="n">
        <f aca="false">IF($D601="",0,LEN($D601)-LEN(SUBSTITUTE($D601,",",""))+1)</f>
        <v>2</v>
      </c>
      <c r="F601" s="6"/>
    </row>
    <row r="602" customFormat="false" ht="15" hidden="false" customHeight="true" outlineLevel="0" collapsed="false">
      <c r="A602" s="5" t="n">
        <v>45842</v>
      </c>
      <c r="B602" s="6" t="s">
        <v>54</v>
      </c>
      <c r="C602" s="6" t="s">
        <v>21</v>
      </c>
      <c r="D602" s="6" t="s">
        <v>59</v>
      </c>
      <c r="E602" s="6" t="n">
        <f aca="false">IF($D602="",0,LEN($D602)-LEN(SUBSTITUTE($D602,",",""))+1)</f>
        <v>2</v>
      </c>
      <c r="F602" s="6"/>
    </row>
    <row r="603" customFormat="false" ht="15" hidden="false" customHeight="true" outlineLevel="0" collapsed="false">
      <c r="A603" s="5" t="n">
        <v>45849</v>
      </c>
      <c r="B603" s="6" t="s">
        <v>157</v>
      </c>
      <c r="C603" s="6" t="s">
        <v>33</v>
      </c>
      <c r="D603" s="6" t="s">
        <v>34</v>
      </c>
      <c r="E603" s="6" t="n">
        <f aca="false">IF($D603="",0,LEN($D603)-LEN(SUBSTITUTE($D603,",",""))+1)</f>
        <v>3</v>
      </c>
      <c r="F603" s="6"/>
    </row>
    <row r="604" customFormat="false" ht="15" hidden="false" customHeight="true" outlineLevel="0" collapsed="false">
      <c r="A604" s="5" t="n">
        <v>45849</v>
      </c>
      <c r="B604" s="6" t="s">
        <v>157</v>
      </c>
      <c r="C604" s="6" t="s">
        <v>33</v>
      </c>
      <c r="D604" s="6" t="s">
        <v>59</v>
      </c>
      <c r="E604" s="6" t="n">
        <f aca="false">IF($D604="",0,LEN($D604)-LEN(SUBSTITUTE($D604,",",""))+1)</f>
        <v>2</v>
      </c>
      <c r="F604" s="6"/>
    </row>
    <row r="605" customFormat="false" ht="15" hidden="false" customHeight="true" outlineLevel="0" collapsed="false">
      <c r="A605" s="5" t="n">
        <v>45856</v>
      </c>
      <c r="B605" s="6" t="s">
        <v>140</v>
      </c>
      <c r="C605" s="6" t="s">
        <v>177</v>
      </c>
      <c r="D605" s="6" t="s">
        <v>174</v>
      </c>
      <c r="E605" s="6" t="n">
        <f aca="false">IF($D605="",0,LEN($D605)-LEN(SUBSTITUTE($D605,",",""))+1)</f>
        <v>4</v>
      </c>
      <c r="F605" s="6"/>
    </row>
    <row r="606" customFormat="false" ht="15" hidden="false" customHeight="true" outlineLevel="0" collapsed="false">
      <c r="A606" s="5" t="n">
        <v>45898</v>
      </c>
      <c r="B606" s="6" t="s">
        <v>172</v>
      </c>
      <c r="C606" s="6" t="s">
        <v>22</v>
      </c>
      <c r="D606" s="6" t="s">
        <v>178</v>
      </c>
      <c r="E606" s="6" t="n">
        <f aca="false">IF($D606="",0,LEN($D606)-LEN(SUBSTITUTE($D606,",",""))+1)</f>
        <v>5</v>
      </c>
      <c r="F606" s="6" t="s">
        <v>179</v>
      </c>
    </row>
    <row r="607" customFormat="false" ht="15" hidden="false" customHeight="true" outlineLevel="0" collapsed="false">
      <c r="A607" s="5" t="n">
        <v>45905</v>
      </c>
      <c r="B607" s="6" t="s">
        <v>172</v>
      </c>
      <c r="C607" s="6" t="s">
        <v>180</v>
      </c>
      <c r="D607" s="6" t="s">
        <v>34</v>
      </c>
      <c r="E607" s="6" t="n">
        <f aca="false">IF($D607="",0,LEN($D607)-LEN(SUBSTITUTE($D607,",",""))+1)</f>
        <v>3</v>
      </c>
      <c r="F607" s="6"/>
    </row>
    <row r="608" customFormat="false" ht="15" hidden="false" customHeight="true" outlineLevel="0" collapsed="false">
      <c r="A608" s="5" t="n">
        <v>45905</v>
      </c>
      <c r="B608" s="6" t="s">
        <v>172</v>
      </c>
      <c r="C608" s="6" t="s">
        <v>33</v>
      </c>
      <c r="D608" s="6" t="s">
        <v>174</v>
      </c>
      <c r="E608" s="6" t="n">
        <f aca="false">IF($D608="",0,LEN($D608)-LEN(SUBSTITUTE($D608,",",""))+1)</f>
        <v>4</v>
      </c>
      <c r="F608" s="6"/>
    </row>
    <row r="609" customFormat="false" ht="15" hidden="false" customHeight="true" outlineLevel="0" collapsed="false">
      <c r="A609" s="5" t="n">
        <v>45913</v>
      </c>
      <c r="B609" s="6" t="s">
        <v>172</v>
      </c>
      <c r="C609" s="6" t="s">
        <v>21</v>
      </c>
      <c r="D609" s="6" t="s">
        <v>34</v>
      </c>
      <c r="E609" s="6" t="n">
        <f aca="false">IF($D609="",0,LEN($D609)-LEN(SUBSTITUTE($D609,",",""))+1)</f>
        <v>3</v>
      </c>
      <c r="F609" s="6"/>
    </row>
    <row r="610" customFormat="false" ht="15" hidden="false" customHeight="true" outlineLevel="0" collapsed="false">
      <c r="A610" s="5" t="n">
        <v>45920</v>
      </c>
      <c r="B610" s="6" t="s">
        <v>54</v>
      </c>
      <c r="C610" s="6" t="s">
        <v>21</v>
      </c>
      <c r="D610" s="6" t="s">
        <v>181</v>
      </c>
      <c r="E610" s="6" t="n">
        <f aca="false">IF($D610="",0,LEN($D610)-LEN(SUBSTITUTE($D610,",",""))+1)</f>
        <v>3</v>
      </c>
      <c r="F610" s="6"/>
    </row>
    <row r="611" customFormat="false" ht="15" hidden="false" customHeight="true" outlineLevel="0" collapsed="false">
      <c r="A611" s="5" t="n">
        <v>45920</v>
      </c>
      <c r="B611" s="6" t="s">
        <v>36</v>
      </c>
      <c r="C611" s="6" t="s">
        <v>182</v>
      </c>
      <c r="D611" s="6" t="s">
        <v>181</v>
      </c>
      <c r="E611" s="6" t="n">
        <f aca="false">IF($D611="",0,LEN($D611)-LEN(SUBSTITUTE($D611,",",""))+1)</f>
        <v>3</v>
      </c>
      <c r="F611" s="6"/>
    </row>
    <row r="612" customFormat="false" ht="15" hidden="false" customHeight="true" outlineLevel="0" collapsed="false">
      <c r="A612" s="5" t="n">
        <v>45927</v>
      </c>
      <c r="B612" s="6" t="s">
        <v>54</v>
      </c>
      <c r="C612" s="6" t="s">
        <v>21</v>
      </c>
      <c r="D612" s="6" t="s">
        <v>59</v>
      </c>
      <c r="E612" s="6" t="n">
        <f aca="false">IF($D612="",0,LEN($D612)-LEN(SUBSTITUTE($D612,",",""))+1)</f>
        <v>2</v>
      </c>
      <c r="F612" s="6"/>
    </row>
    <row r="613" customFormat="false" ht="15" hidden="false" customHeight="true" outlineLevel="0" collapsed="false">
      <c r="A613" s="5" t="n">
        <v>45927</v>
      </c>
      <c r="B613" s="6" t="s">
        <v>36</v>
      </c>
      <c r="C613" s="6" t="s">
        <v>21</v>
      </c>
      <c r="D613" s="6" t="s">
        <v>59</v>
      </c>
      <c r="E613" s="6" t="n">
        <f aca="false">IF($D613="",0,LEN($D613)-LEN(SUBSTITUTE($D613,",",""))+1)</f>
        <v>2</v>
      </c>
      <c r="F613" s="6"/>
    </row>
    <row r="614" customFormat="false" ht="15" hidden="false" customHeight="true" outlineLevel="0" collapsed="false">
      <c r="A614" s="5" t="n">
        <v>45927</v>
      </c>
      <c r="B614" s="6" t="s">
        <v>54</v>
      </c>
      <c r="C614" s="6" t="s">
        <v>21</v>
      </c>
      <c r="D614" s="6" t="s">
        <v>59</v>
      </c>
      <c r="E614" s="6" t="n">
        <f aca="false">IF($D614="",0,LEN($D614)-LEN(SUBSTITUTE($D614,",",""))+1)</f>
        <v>2</v>
      </c>
      <c r="F614" s="6"/>
    </row>
    <row r="615" customFormat="false" ht="15" hidden="false" customHeight="true" outlineLevel="0" collapsed="false">
      <c r="A615" s="5" t="n">
        <v>45933</v>
      </c>
      <c r="B615" s="6" t="s">
        <v>54</v>
      </c>
      <c r="C615" s="6" t="s">
        <v>33</v>
      </c>
      <c r="D615" s="6" t="s">
        <v>181</v>
      </c>
      <c r="E615" s="6" t="n">
        <f aca="false">IF($D615="",0,LEN($D615)-LEN(SUBSTITUTE($D615,",",""))+1)</f>
        <v>3</v>
      </c>
      <c r="F615" s="6"/>
    </row>
    <row r="616" customFormat="false" ht="15" hidden="false" customHeight="true" outlineLevel="0" collapsed="false">
      <c r="A616" s="5" t="n">
        <v>45933</v>
      </c>
      <c r="B616" s="6" t="s">
        <v>157</v>
      </c>
      <c r="C616" s="6" t="s">
        <v>33</v>
      </c>
      <c r="D616" s="6" t="s">
        <v>181</v>
      </c>
      <c r="E616" s="6" t="n">
        <f aca="false">IF($D616="",0,LEN($D616)-LEN(SUBSTITUTE($D616,",",""))+1)</f>
        <v>3</v>
      </c>
      <c r="F616" s="6"/>
    </row>
    <row r="617" customFormat="false" ht="15" hidden="false" customHeight="true" outlineLevel="0" collapsed="false">
      <c r="A617" s="5" t="n">
        <v>45940</v>
      </c>
      <c r="B617" s="6" t="s">
        <v>54</v>
      </c>
      <c r="C617" s="6" t="s">
        <v>33</v>
      </c>
      <c r="D617" s="6" t="s">
        <v>34</v>
      </c>
      <c r="E617" s="6" t="n">
        <f aca="false">IF($D617="",0,LEN($D617)-LEN(SUBSTITUTE($D617,",",""))+1)</f>
        <v>3</v>
      </c>
      <c r="F617" s="6"/>
    </row>
    <row r="618" customFormat="false" ht="15" hidden="false" customHeight="true" outlineLevel="0" collapsed="false">
      <c r="A618" s="5" t="n">
        <v>45940</v>
      </c>
      <c r="B618" s="6" t="s">
        <v>137</v>
      </c>
      <c r="C618" s="6" t="s">
        <v>21</v>
      </c>
      <c r="D618" s="6" t="s">
        <v>34</v>
      </c>
      <c r="E618" s="6" t="n">
        <f aca="false">IF($D618="",0,LEN($D618)-LEN(SUBSTITUTE($D618,",",""))+1)</f>
        <v>3</v>
      </c>
      <c r="F618" s="6"/>
    </row>
    <row r="619" customFormat="false" ht="15" hidden="false" customHeight="true" outlineLevel="0" collapsed="false">
      <c r="A619" s="5" t="n">
        <v>45940</v>
      </c>
      <c r="B619" s="6" t="s">
        <v>157</v>
      </c>
      <c r="C619" s="6" t="s">
        <v>22</v>
      </c>
      <c r="D619" s="6" t="s">
        <v>34</v>
      </c>
      <c r="E619" s="6" t="n">
        <f aca="false">IF($D619="",0,LEN($D619)-LEN(SUBSTITUTE($D619,",",""))+1)</f>
        <v>3</v>
      </c>
      <c r="F619" s="6"/>
    </row>
    <row r="620" customFormat="false" ht="15" hidden="false" customHeight="true" outlineLevel="0" collapsed="false">
      <c r="A620" s="5" t="n">
        <v>45941</v>
      </c>
      <c r="B620" s="6" t="s">
        <v>54</v>
      </c>
      <c r="C620" s="6" t="s">
        <v>21</v>
      </c>
      <c r="D620" s="6" t="s">
        <v>181</v>
      </c>
      <c r="E620" s="6" t="n">
        <f aca="false">IF($D620="",0,LEN($D620)-LEN(SUBSTITUTE($D620,",",""))+1)</f>
        <v>3</v>
      </c>
      <c r="F620" s="6"/>
    </row>
    <row r="621" customFormat="false" ht="15" hidden="false" customHeight="true" outlineLevel="0" collapsed="false">
      <c r="A621" s="5" t="n">
        <v>45941</v>
      </c>
      <c r="B621" s="6" t="s">
        <v>157</v>
      </c>
      <c r="C621" s="6" t="s">
        <v>33</v>
      </c>
      <c r="D621" s="6" t="s">
        <v>181</v>
      </c>
      <c r="E621" s="6" t="n">
        <f aca="false">IF($D621="",0,LEN($D621)-LEN(SUBSTITUTE($D621,",",""))+1)</f>
        <v>3</v>
      </c>
      <c r="F621" s="6"/>
    </row>
    <row r="622" customFormat="false" ht="15" hidden="false" customHeight="true" outlineLevel="0" collapsed="false">
      <c r="A622" s="5" t="n">
        <v>45948</v>
      </c>
      <c r="B622" s="6" t="s">
        <v>54</v>
      </c>
      <c r="C622" s="6" t="s">
        <v>21</v>
      </c>
      <c r="D622" s="6" t="s">
        <v>181</v>
      </c>
      <c r="E622" s="6" t="n">
        <f aca="false">IF($D622="",0,LEN($D622)-LEN(SUBSTITUTE($D622,",",""))+1)</f>
        <v>3</v>
      </c>
      <c r="F622" s="6"/>
    </row>
    <row r="623" customFormat="false" ht="15" hidden="false" customHeight="true" outlineLevel="0" collapsed="false">
      <c r="A623" s="5" t="n">
        <v>45948</v>
      </c>
      <c r="B623" s="6" t="s">
        <v>157</v>
      </c>
      <c r="C623" s="6" t="s">
        <v>33</v>
      </c>
      <c r="D623" s="6" t="s">
        <v>181</v>
      </c>
      <c r="E623" s="6" t="n">
        <f aca="false">IF($D623="",0,LEN($D623)-LEN(SUBSTITUTE($D623,",",""))+1)</f>
        <v>3</v>
      </c>
      <c r="F623" s="6"/>
    </row>
    <row r="624" customFormat="false" ht="15" hidden="false" customHeight="true" outlineLevel="0" collapsed="false">
      <c r="A624" s="5" t="n">
        <v>45961</v>
      </c>
      <c r="B624" s="6" t="s">
        <v>157</v>
      </c>
      <c r="C624" s="6" t="s">
        <v>22</v>
      </c>
      <c r="D624" s="6" t="s">
        <v>174</v>
      </c>
      <c r="E624" s="6" t="n">
        <f aca="false">IF($D624="",0,LEN($D624)-LEN(SUBSTITUTE($D624,",",""))+1)</f>
        <v>4</v>
      </c>
      <c r="F624" s="6"/>
    </row>
    <row r="625" customFormat="false" ht="15" hidden="false" customHeight="true" outlineLevel="0" collapsed="false">
      <c r="A625" s="5" t="n">
        <v>45968</v>
      </c>
      <c r="B625" s="6" t="s">
        <v>54</v>
      </c>
      <c r="C625" s="6" t="s">
        <v>21</v>
      </c>
      <c r="D625" s="6" t="s">
        <v>34</v>
      </c>
      <c r="E625" s="6" t="n">
        <f aca="false">IF($D625="",0,LEN($D625)-LEN(SUBSTITUTE($D625,",",""))+1)</f>
        <v>3</v>
      </c>
      <c r="F625" s="6"/>
    </row>
    <row r="626" customFormat="false" ht="15" hidden="false" customHeight="true" outlineLevel="0" collapsed="false">
      <c r="A626" s="5" t="n">
        <v>45968</v>
      </c>
      <c r="B626" s="6" t="s">
        <v>157</v>
      </c>
      <c r="C626" s="6" t="s">
        <v>22</v>
      </c>
      <c r="D626" s="6" t="s">
        <v>34</v>
      </c>
      <c r="E626" s="6" t="n">
        <f aca="false">IF($D626="",0,LEN($D626)-LEN(SUBSTITUTE($D626,",",""))+1)</f>
        <v>3</v>
      </c>
      <c r="F626" s="6"/>
    </row>
    <row r="627" customFormat="false" ht="15" hidden="false" customHeight="true" outlineLevel="0" collapsed="false">
      <c r="A627" s="5" t="n">
        <v>45971</v>
      </c>
      <c r="B627" s="6" t="s">
        <v>54</v>
      </c>
      <c r="C627" s="6" t="s">
        <v>177</v>
      </c>
      <c r="D627" s="6" t="s">
        <v>181</v>
      </c>
      <c r="E627" s="6" t="n">
        <f aca="false">IF($D627="",0,LEN($D627)-LEN(SUBSTITUTE($D627,",",""))+1)</f>
        <v>3</v>
      </c>
      <c r="F627" s="6"/>
    </row>
    <row r="628" customFormat="false" ht="15" hidden="false" customHeight="true" outlineLevel="0" collapsed="false">
      <c r="A628" s="5" t="n">
        <v>45971</v>
      </c>
      <c r="B628" s="6" t="s">
        <v>157</v>
      </c>
      <c r="C628" s="6" t="s">
        <v>33</v>
      </c>
      <c r="D628" s="6" t="s">
        <v>181</v>
      </c>
      <c r="E628" s="6" t="n">
        <f aca="false">IF($D628="",0,LEN($D628)-LEN(SUBSTITUTE($D628,",",""))+1)</f>
        <v>3</v>
      </c>
      <c r="F628" s="6"/>
    </row>
    <row r="629" customFormat="false" ht="15" hidden="false" customHeight="true" outlineLevel="0" collapsed="false">
      <c r="A629" s="5" t="n">
        <v>45975</v>
      </c>
      <c r="B629" s="6" t="s">
        <v>137</v>
      </c>
      <c r="C629" s="6" t="s">
        <v>22</v>
      </c>
      <c r="D629" s="6" t="s">
        <v>34</v>
      </c>
      <c r="E629" s="6" t="n">
        <f aca="false">IF($D629="",0,LEN($D629)-LEN(SUBSTITUTE($D629,",",""))+1)</f>
        <v>3</v>
      </c>
      <c r="F629" s="6"/>
    </row>
    <row r="630" customFormat="false" ht="15" hidden="false" customHeight="true" outlineLevel="0" collapsed="false">
      <c r="A630" s="5" t="n">
        <v>45975</v>
      </c>
      <c r="B630" s="6" t="s">
        <v>137</v>
      </c>
      <c r="C630" s="6" t="s">
        <v>22</v>
      </c>
      <c r="D630" s="6" t="s">
        <v>34</v>
      </c>
      <c r="E630" s="6" t="n">
        <f aca="false">IF($D630="",0,LEN($D630)-LEN(SUBSTITUTE($D630,",",""))+1)</f>
        <v>3</v>
      </c>
      <c r="F630" s="6"/>
    </row>
    <row r="631" customFormat="false" ht="15" hidden="false" customHeight="true" outlineLevel="0" collapsed="false">
      <c r="A631" s="5" t="n">
        <v>45975</v>
      </c>
      <c r="B631" s="6" t="s">
        <v>157</v>
      </c>
      <c r="C631" s="6" t="s">
        <v>21</v>
      </c>
      <c r="D631" s="6" t="s">
        <v>34</v>
      </c>
      <c r="E631" s="6" t="n">
        <f aca="false">IF($D631="",0,LEN($D631)-LEN(SUBSTITUTE($D631,",",""))+1)</f>
        <v>3</v>
      </c>
      <c r="F631" s="6"/>
    </row>
    <row r="632" customFormat="false" ht="15" hidden="false" customHeight="true" outlineLevel="0" collapsed="false">
      <c r="A632" s="5" t="n">
        <v>45982</v>
      </c>
      <c r="B632" s="6" t="s">
        <v>140</v>
      </c>
      <c r="C632" s="6" t="s">
        <v>35</v>
      </c>
      <c r="D632" s="6" t="s">
        <v>43</v>
      </c>
      <c r="E632" s="6" t="n">
        <f aca="false">IF($D632="",0,LEN($D632)-LEN(SUBSTITUTE($D632,",",""))+1)</f>
        <v>5</v>
      </c>
      <c r="F632" s="6" t="s">
        <v>183</v>
      </c>
    </row>
    <row r="633" customFormat="false" ht="15" hidden="false" customHeight="true" outlineLevel="0" collapsed="false">
      <c r="A633" s="5" t="n">
        <v>46004</v>
      </c>
      <c r="B633" s="6" t="s">
        <v>157</v>
      </c>
      <c r="C633" s="6" t="s">
        <v>21</v>
      </c>
      <c r="D633" s="6" t="s">
        <v>184</v>
      </c>
      <c r="E633" s="6" t="n">
        <f aca="false">IF($D633="",0,LEN($D633)-LEN(SUBSTITUTE($D633,",",""))+1)</f>
        <v>4</v>
      </c>
      <c r="F633" s="6" t="s">
        <v>185</v>
      </c>
    </row>
    <row r="634" customFormat="false" ht="15" hidden="false" customHeight="true" outlineLevel="0" collapsed="false">
      <c r="A634" s="5" t="n">
        <v>46010</v>
      </c>
      <c r="B634" s="6" t="s">
        <v>54</v>
      </c>
      <c r="C634" s="6" t="s">
        <v>21</v>
      </c>
      <c r="D634" s="6" t="s">
        <v>34</v>
      </c>
      <c r="E634" s="6" t="n">
        <f aca="false">IF($D634="",0,LEN($D634)-LEN(SUBSTITUTE($D634,",",""))+1)</f>
        <v>3</v>
      </c>
      <c r="F634" s="6"/>
    </row>
    <row r="635" customFormat="false" ht="15" hidden="false" customHeight="true" outlineLevel="0" collapsed="false">
      <c r="A635" s="5" t="n">
        <v>46010</v>
      </c>
      <c r="B635" s="6" t="s">
        <v>137</v>
      </c>
      <c r="C635" s="6" t="s">
        <v>21</v>
      </c>
      <c r="D635" s="6" t="s">
        <v>34</v>
      </c>
      <c r="E635" s="6" t="n">
        <f aca="false">IF($D635="",0,LEN($D635)-LEN(SUBSTITUTE($D635,",",""))+1)</f>
        <v>3</v>
      </c>
      <c r="F635" s="6"/>
    </row>
    <row r="636" customFormat="false" ht="15" hidden="false" customHeight="true" outlineLevel="0" collapsed="false">
      <c r="A636" s="5" t="n">
        <v>46010</v>
      </c>
      <c r="B636" s="6" t="s">
        <v>157</v>
      </c>
      <c r="C636" s="6" t="s">
        <v>33</v>
      </c>
      <c r="D636" s="6" t="s">
        <v>34</v>
      </c>
      <c r="E636" s="6" t="n">
        <f aca="false">IF($D636="",0,LEN($D636)-LEN(SUBSTITUTE($D636,",",""))+1)</f>
        <v>3</v>
      </c>
      <c r="F636" s="6"/>
    </row>
    <row r="637" customFormat="false" ht="15" hidden="false" customHeight="true" outlineLevel="0" collapsed="false">
      <c r="A637" s="5" t="n">
        <v>46014</v>
      </c>
      <c r="B637" s="6" t="s">
        <v>137</v>
      </c>
      <c r="C637" s="6" t="s">
        <v>33</v>
      </c>
      <c r="D637" s="6" t="s">
        <v>181</v>
      </c>
      <c r="E637" s="6" t="n">
        <f aca="false">IF($D637="",0,LEN($D637)-LEN(SUBSTITUTE($D637,",",""))+1)</f>
        <v>3</v>
      </c>
      <c r="F637" s="6"/>
    </row>
    <row r="638" customFormat="false" ht="15" hidden="false" customHeight="true" outlineLevel="0" collapsed="false">
      <c r="A638" s="5" t="n">
        <v>46014</v>
      </c>
      <c r="B638" s="6" t="s">
        <v>157</v>
      </c>
      <c r="C638" s="6" t="s">
        <v>33</v>
      </c>
      <c r="D638" s="6" t="s">
        <v>181</v>
      </c>
      <c r="E638" s="6" t="n">
        <f aca="false">IF($D638="",0,LEN($D638)-LEN(SUBSTITUTE($D638,",",""))+1)</f>
        <v>3</v>
      </c>
      <c r="F638" s="6"/>
    </row>
    <row r="639" customFormat="false" ht="15" hidden="false" customHeight="true" outlineLevel="0" collapsed="false">
      <c r="A639" s="5" t="n">
        <v>46020</v>
      </c>
      <c r="B639" s="6" t="s">
        <v>137</v>
      </c>
      <c r="C639" s="6" t="s">
        <v>33</v>
      </c>
      <c r="D639" s="6" t="s">
        <v>34</v>
      </c>
      <c r="E639" s="6" t="n">
        <f aca="false">IF($D639="",0,LEN($D639)-LEN(SUBSTITUTE($D639,",",""))+1)</f>
        <v>3</v>
      </c>
      <c r="F639" s="6"/>
    </row>
    <row r="640" customFormat="false" ht="15" hidden="false" customHeight="true" outlineLevel="0" collapsed="false">
      <c r="A640" s="5" t="n">
        <v>46020</v>
      </c>
      <c r="B640" s="6" t="s">
        <v>137</v>
      </c>
      <c r="C640" s="6" t="s">
        <v>33</v>
      </c>
      <c r="D640" s="6" t="s">
        <v>34</v>
      </c>
      <c r="E640" s="6" t="n">
        <f aca="false">IF($D640="",0,LEN($D640)-LEN(SUBSTITUTE($D640,",",""))+1)</f>
        <v>3</v>
      </c>
      <c r="F640" s="6"/>
    </row>
    <row r="641" customFormat="false" ht="15" hidden="false" customHeight="true" outlineLevel="0" collapsed="false">
      <c r="A641" s="5" t="n">
        <v>46020</v>
      </c>
      <c r="B641" s="6" t="s">
        <v>135</v>
      </c>
      <c r="C641" s="6" t="s">
        <v>33</v>
      </c>
      <c r="D641" s="6" t="s">
        <v>34</v>
      </c>
      <c r="E641" s="6" t="n">
        <f aca="false">IF($D641="",0,LEN($D641)-LEN(SUBSTITUTE($D641,",",""))+1)</f>
        <v>3</v>
      </c>
      <c r="F641" s="6"/>
    </row>
    <row r="642" customFormat="false" ht="15" hidden="false" customHeight="true" outlineLevel="0" collapsed="false">
      <c r="A642" s="5" t="n">
        <v>46020</v>
      </c>
      <c r="B642" s="6" t="s">
        <v>157</v>
      </c>
      <c r="C642" s="6" t="s">
        <v>22</v>
      </c>
      <c r="D642" s="6" t="s">
        <v>34</v>
      </c>
      <c r="E642" s="6" t="n">
        <f aca="false">IF($D642="",0,LEN($D642)-LEN(SUBSTITUTE($D642,",",""))+1)</f>
        <v>3</v>
      </c>
      <c r="F642" s="6"/>
    </row>
    <row r="643" customFormat="false" ht="15" hidden="false" customHeight="true" outlineLevel="0" collapsed="false">
      <c r="A643" s="5" t="n">
        <v>46024</v>
      </c>
      <c r="B643" s="6" t="s">
        <v>157</v>
      </c>
      <c r="C643" s="6" t="s">
        <v>21</v>
      </c>
      <c r="D643" s="6" t="s">
        <v>43</v>
      </c>
      <c r="E643" s="6" t="n">
        <f aca="false">IF($D643="",0,LEN($D643)-LEN(SUBSTITUTE($D643,",",""))+1)</f>
        <v>5</v>
      </c>
      <c r="F643" s="6"/>
    </row>
    <row r="644" customFormat="false" ht="15" hidden="false" customHeight="true" outlineLevel="0" collapsed="false">
      <c r="A644" s="5" t="n">
        <v>46031</v>
      </c>
      <c r="B644" s="6" t="s">
        <v>137</v>
      </c>
      <c r="C644" s="6" t="s">
        <v>22</v>
      </c>
      <c r="D644" s="6" t="s">
        <v>34</v>
      </c>
      <c r="E644" s="6" t="n">
        <f aca="false">IF($D644="",0,LEN($D644)-LEN(SUBSTITUTE($D644,",",""))+1)</f>
        <v>3</v>
      </c>
      <c r="F644" s="6"/>
    </row>
    <row r="645" customFormat="false" ht="15" hidden="false" customHeight="true" outlineLevel="0" collapsed="false">
      <c r="A645" s="5" t="n">
        <v>46031</v>
      </c>
      <c r="B645" s="6" t="s">
        <v>157</v>
      </c>
      <c r="C645" s="6" t="s">
        <v>21</v>
      </c>
      <c r="D645" s="6" t="s">
        <v>34</v>
      </c>
      <c r="E645" s="6" t="n">
        <f aca="false">IF($D645="",0,LEN($D645)-LEN(SUBSTITUTE($D645,",",""))+1)</f>
        <v>3</v>
      </c>
      <c r="F645" s="6"/>
    </row>
    <row r="646" customFormat="false" ht="15" hidden="false" customHeight="true" outlineLevel="0" collapsed="false">
      <c r="A646" s="5" t="n">
        <v>46038</v>
      </c>
      <c r="B646" s="6" t="s">
        <v>140</v>
      </c>
      <c r="C646" s="6" t="s">
        <v>21</v>
      </c>
      <c r="D646" s="6" t="s">
        <v>32</v>
      </c>
      <c r="E646" s="6" t="n">
        <f aca="false">IF($D646="",0,LEN($D646)-LEN(SUBSTITUTE($D646,",",""))+1)</f>
        <v>4</v>
      </c>
      <c r="F646" s="6"/>
    </row>
    <row r="647" customFormat="false" ht="15" hidden="false" customHeight="true" outlineLevel="0" collapsed="false">
      <c r="A647" s="5" t="n">
        <v>46045</v>
      </c>
      <c r="B647" s="6" t="s">
        <v>137</v>
      </c>
      <c r="C647" s="6" t="s">
        <v>33</v>
      </c>
      <c r="D647" s="6" t="s">
        <v>34</v>
      </c>
      <c r="E647" s="6" t="n">
        <f aca="false">IF($D647="",0,LEN($D647)-LEN(SUBSTITUTE($D647,",",""))+1)</f>
        <v>3</v>
      </c>
      <c r="F647" s="6"/>
    </row>
    <row r="648" customFormat="false" ht="15" hidden="false" customHeight="true" outlineLevel="0" collapsed="false">
      <c r="A648" s="5" t="n">
        <v>46045</v>
      </c>
      <c r="B648" s="6" t="s">
        <v>137</v>
      </c>
      <c r="C648" s="6" t="s">
        <v>33</v>
      </c>
      <c r="D648" s="6" t="s">
        <v>34</v>
      </c>
      <c r="E648" s="6" t="n">
        <f aca="false">IF($D648="",0,LEN($D648)-LEN(SUBSTITUTE($D648,",",""))+1)</f>
        <v>3</v>
      </c>
      <c r="F648" s="6"/>
    </row>
    <row r="649" customFormat="false" ht="15" hidden="false" customHeight="true" outlineLevel="0" collapsed="false">
      <c r="A649" s="5" t="n">
        <v>46045</v>
      </c>
      <c r="B649" s="6" t="s">
        <v>157</v>
      </c>
      <c r="C649" s="6" t="s">
        <v>22</v>
      </c>
      <c r="D649" s="6" t="s">
        <v>34</v>
      </c>
      <c r="E649" s="6" t="n">
        <f aca="false">IF($D649="",0,LEN($D649)-LEN(SUBSTITUTE($D649,",",""))+1)</f>
        <v>3</v>
      </c>
      <c r="F649" s="6"/>
    </row>
    <row r="650" customFormat="false" ht="15" hidden="false" customHeight="true" outlineLevel="0" collapsed="false">
      <c r="A650" s="5" t="n">
        <v>46052</v>
      </c>
      <c r="B650" s="6" t="s">
        <v>137</v>
      </c>
      <c r="C650" s="6" t="s">
        <v>22</v>
      </c>
      <c r="D650" s="6" t="s">
        <v>34</v>
      </c>
      <c r="E650" s="6" t="n">
        <f aca="false">IF($D650="",0,LEN($D650)-LEN(SUBSTITUTE($D650,",",""))+1)</f>
        <v>3</v>
      </c>
      <c r="F650" s="6"/>
    </row>
    <row r="651" customFormat="false" ht="15" hidden="false" customHeight="true" outlineLevel="0" collapsed="false">
      <c r="A651" s="5" t="n">
        <v>46052</v>
      </c>
      <c r="B651" s="6" t="s">
        <v>137</v>
      </c>
      <c r="C651" s="6" t="s">
        <v>21</v>
      </c>
      <c r="D651" s="6" t="s">
        <v>34</v>
      </c>
      <c r="E651" s="6" t="n">
        <f aca="false">IF($D651="",0,LEN($D651)-LEN(SUBSTITUTE($D651,",",""))+1)</f>
        <v>3</v>
      </c>
      <c r="F651" s="6"/>
    </row>
    <row r="652" customFormat="false" ht="15" hidden="false" customHeight="true" outlineLevel="0" collapsed="false">
      <c r="A652" s="5" t="n">
        <v>46052</v>
      </c>
      <c r="B652" s="6" t="s">
        <v>157</v>
      </c>
      <c r="C652" s="6" t="s">
        <v>21</v>
      </c>
      <c r="D652" s="6" t="s">
        <v>34</v>
      </c>
      <c r="E652" s="6" t="n">
        <f aca="false">IF($D652="",0,LEN($D652)-LEN(SUBSTITUTE($D652,",",""))+1)</f>
        <v>3</v>
      </c>
      <c r="F652" s="6"/>
    </row>
    <row r="653" customFormat="false" ht="15" hidden="false" customHeight="true" outlineLevel="0" collapsed="false">
      <c r="A653" s="5" t="n">
        <v>46060</v>
      </c>
      <c r="B653" s="6" t="s">
        <v>157</v>
      </c>
      <c r="C653" s="6" t="s">
        <v>21</v>
      </c>
      <c r="D653" s="6" t="s">
        <v>178</v>
      </c>
      <c r="E653" s="6" t="n">
        <f aca="false">IF($D653="",0,LEN($D653)-LEN(SUBSTITUTE($D653,",",""))+1)</f>
        <v>5</v>
      </c>
      <c r="F653" s="6"/>
    </row>
    <row r="654" customFormat="false" ht="15" hidden="false" customHeight="true" outlineLevel="0" collapsed="false">
      <c r="A654" s="5" t="n">
        <v>46060</v>
      </c>
      <c r="B654" s="6" t="s">
        <v>137</v>
      </c>
      <c r="C654" s="6" t="s">
        <v>21</v>
      </c>
      <c r="D654" s="6" t="s">
        <v>32</v>
      </c>
      <c r="E654" s="6" t="n">
        <f aca="false">IF($D654="",0,LEN($D654)-LEN(SUBSTITUTE($D654,",",""))+1)</f>
        <v>4</v>
      </c>
      <c r="F654" s="6"/>
    </row>
    <row r="655" customFormat="false" ht="15" hidden="false" customHeight="true" outlineLevel="0" collapsed="false">
      <c r="A655" s="5" t="n">
        <v>46115</v>
      </c>
      <c r="B655" s="6" t="s">
        <v>137</v>
      </c>
      <c r="C655" s="6" t="s">
        <v>21</v>
      </c>
      <c r="D655" s="6" t="s">
        <v>174</v>
      </c>
      <c r="E655" s="6" t="n">
        <f aca="false">IF($D655="",0,LEN($D655)-LEN(SUBSTITUTE($D655,",",""))+1)</f>
        <v>4</v>
      </c>
      <c r="F655" s="6"/>
    </row>
    <row r="656" customFormat="false" ht="15" hidden="false" customHeight="true" outlineLevel="0" collapsed="false">
      <c r="A656" s="5" t="n">
        <v>46115</v>
      </c>
      <c r="B656" s="6" t="s">
        <v>157</v>
      </c>
      <c r="C656" s="6" t="s">
        <v>33</v>
      </c>
      <c r="D656" s="6" t="s">
        <v>174</v>
      </c>
      <c r="E656" s="6" t="n">
        <f aca="false">IF($D656="",0,LEN($D656)-LEN(SUBSTITUTE($D656,",",""))+1)</f>
        <v>4</v>
      </c>
      <c r="F656" s="6"/>
    </row>
    <row r="657" customFormat="false" ht="15" hidden="false" customHeight="true" outlineLevel="0" collapsed="false">
      <c r="A657" s="5" t="n">
        <v>46118</v>
      </c>
      <c r="B657" s="6" t="s">
        <v>137</v>
      </c>
      <c r="C657" s="6" t="s">
        <v>21</v>
      </c>
      <c r="D657" s="6" t="s">
        <v>34</v>
      </c>
      <c r="E657" s="6" t="n">
        <f aca="false">IF($D657="",0,LEN($D657)-LEN(SUBSTITUTE($D657,",",""))+1)</f>
        <v>3</v>
      </c>
      <c r="F657" s="6"/>
    </row>
    <row r="658" customFormat="false" ht="15" hidden="false" customHeight="true" outlineLevel="0" collapsed="false">
      <c r="A658" s="5" t="n">
        <v>46118</v>
      </c>
      <c r="B658" s="6" t="s">
        <v>157</v>
      </c>
      <c r="C658" s="6" t="s">
        <v>21</v>
      </c>
      <c r="D658" s="6" t="s">
        <v>34</v>
      </c>
      <c r="E658" s="6" t="n">
        <f aca="false">IF($D658="",0,LEN($D658)-LEN(SUBSTITUTE($D658,",",""))+1)</f>
        <v>3</v>
      </c>
      <c r="F658" s="6"/>
    </row>
    <row r="659" customFormat="false" ht="15" hidden="false" customHeight="true" outlineLevel="0" collapsed="false">
      <c r="A659" s="5" t="n">
        <v>46118</v>
      </c>
      <c r="B659" s="6" t="s">
        <v>54</v>
      </c>
      <c r="C659" s="6" t="s">
        <v>33</v>
      </c>
      <c r="D659" s="6" t="s">
        <v>59</v>
      </c>
      <c r="E659" s="6" t="n">
        <f aca="false">IF($D659="",0,LEN($D659)-LEN(SUBSTITUTE($D659,",",""))+1)</f>
        <v>2</v>
      </c>
      <c r="F659" s="6"/>
    </row>
    <row r="660" customFormat="false" ht="15" hidden="false" customHeight="true" outlineLevel="0" collapsed="false">
      <c r="A660" s="5" t="n">
        <v>46122</v>
      </c>
      <c r="B660" s="6" t="s">
        <v>54</v>
      </c>
      <c r="C660" s="6" t="s">
        <v>21</v>
      </c>
      <c r="D660" s="6" t="s">
        <v>34</v>
      </c>
      <c r="E660" s="6" t="n">
        <f aca="false">IF($D660="",0,LEN($D660)-LEN(SUBSTITUTE($D660,",",""))+1)</f>
        <v>3</v>
      </c>
      <c r="F660" s="6"/>
    </row>
    <row r="661" customFormat="false" ht="15" hidden="false" customHeight="true" outlineLevel="0" collapsed="false">
      <c r="A661" s="5" t="n">
        <v>46122</v>
      </c>
      <c r="B661" s="6" t="s">
        <v>157</v>
      </c>
      <c r="C661" s="6" t="s">
        <v>21</v>
      </c>
      <c r="D661" s="6" t="s">
        <v>34</v>
      </c>
      <c r="E661" s="6" t="n">
        <f aca="false">IF($D661="",0,LEN($D661)-LEN(SUBSTITUTE($D661,",",""))+1)</f>
        <v>3</v>
      </c>
      <c r="F661" s="6"/>
    </row>
    <row r="662" customFormat="false" ht="15" hidden="false" customHeight="true" outlineLevel="0" collapsed="false">
      <c r="A662" s="5" t="n">
        <v>46129</v>
      </c>
      <c r="B662" s="6" t="s">
        <v>137</v>
      </c>
      <c r="C662" s="6" t="s">
        <v>21</v>
      </c>
      <c r="D662" s="6" t="s">
        <v>174</v>
      </c>
      <c r="E662" s="6" t="n">
        <f aca="false">IF($D662="",0,LEN($D662)-LEN(SUBSTITUTE($D662,",",""))+1)</f>
        <v>4</v>
      </c>
      <c r="F662" s="6"/>
    </row>
    <row r="663" customFormat="false" ht="15" hidden="false" customHeight="true" outlineLevel="0" collapsed="false">
      <c r="A663" s="5" t="n">
        <v>46129</v>
      </c>
      <c r="B663" s="6" t="s">
        <v>157</v>
      </c>
      <c r="C663" s="6" t="s">
        <v>33</v>
      </c>
      <c r="D663" s="6" t="s">
        <v>174</v>
      </c>
      <c r="E663" s="6" t="n">
        <f aca="false">IF($D663="",0,LEN($D663)-LEN(SUBSTITUTE($D663,",",""))+1)</f>
        <v>4</v>
      </c>
      <c r="F663" s="6" t="s">
        <v>186</v>
      </c>
    </row>
    <row r="664" customFormat="false" ht="15" hidden="false" customHeight="true" outlineLevel="0" collapsed="false">
      <c r="A664" s="5" t="n">
        <v>46129</v>
      </c>
      <c r="B664" s="6" t="s">
        <v>54</v>
      </c>
      <c r="C664" s="6" t="s">
        <v>21</v>
      </c>
      <c r="D664" s="6" t="s">
        <v>34</v>
      </c>
      <c r="E664" s="6" t="n">
        <f aca="false">IF($D664="",0,LEN($D664)-LEN(SUBSTITUTE($D664,",",""))+1)</f>
        <v>3</v>
      </c>
      <c r="F664" s="6"/>
    </row>
    <row r="665" customFormat="false" ht="15" hidden="false" customHeight="true" outlineLevel="0" collapsed="false">
      <c r="A665" s="5" t="n">
        <v>46136</v>
      </c>
      <c r="B665" s="6" t="s">
        <v>54</v>
      </c>
      <c r="C665" s="6" t="s">
        <v>21</v>
      </c>
      <c r="D665" s="6" t="s">
        <v>59</v>
      </c>
      <c r="E665" s="6" t="n">
        <f aca="false">IF($D665="",0,LEN($D665)-LEN(SUBSTITUTE($D665,",",""))+1)</f>
        <v>2</v>
      </c>
      <c r="F665" s="6"/>
    </row>
    <row r="666" customFormat="false" ht="15" hidden="false" customHeight="true" outlineLevel="0" collapsed="false">
      <c r="A666" s="5" t="n">
        <v>46136</v>
      </c>
      <c r="B666" s="6" t="s">
        <v>157</v>
      </c>
      <c r="C666" s="6" t="s">
        <v>33</v>
      </c>
      <c r="D666" s="6" t="s">
        <v>59</v>
      </c>
      <c r="E666" s="6" t="n">
        <f aca="false">IF($D666="",0,LEN($D666)-LEN(SUBSTITUTE($D666,",",""))+1)</f>
        <v>2</v>
      </c>
      <c r="F666" s="6"/>
    </row>
    <row r="667" customFormat="false" ht="15" hidden="false" customHeight="true" outlineLevel="0" collapsed="false">
      <c r="A667" s="5" t="n">
        <v>46136</v>
      </c>
      <c r="B667" s="6" t="s">
        <v>157</v>
      </c>
      <c r="C667" s="6" t="s">
        <v>21</v>
      </c>
      <c r="D667" s="6" t="s">
        <v>59</v>
      </c>
      <c r="E667" s="6" t="n">
        <f aca="false">IF($D667="",0,LEN($D667)-LEN(SUBSTITUTE($D667,",",""))+1)</f>
        <v>2</v>
      </c>
      <c r="F667" s="6"/>
    </row>
    <row r="668" customFormat="false" ht="15" hidden="false" customHeight="true" outlineLevel="0" collapsed="false">
      <c r="A668" s="5" t="n">
        <v>46136</v>
      </c>
      <c r="B668" s="6" t="s">
        <v>54</v>
      </c>
      <c r="C668" s="6" t="s">
        <v>33</v>
      </c>
      <c r="D668" s="6" t="s">
        <v>59</v>
      </c>
      <c r="E668" s="6" t="n">
        <f aca="false">IF($D668="",0,LEN($D668)-LEN(SUBSTITUTE($D668,",",""))+1)</f>
        <v>2</v>
      </c>
      <c r="F668" s="6"/>
    </row>
    <row r="669" customFormat="false" ht="15" hidden="false" customHeight="true" outlineLevel="0" collapsed="false">
      <c r="A669" s="5" t="n">
        <v>46143</v>
      </c>
      <c r="B669" s="6" t="s">
        <v>140</v>
      </c>
      <c r="C669" s="6" t="s">
        <v>33</v>
      </c>
      <c r="D669" s="6" t="s">
        <v>178</v>
      </c>
      <c r="E669" s="6" t="n">
        <f aca="false">IF($D669="",0,LEN($D669)-LEN(SUBSTITUTE($D669,",",""))+1)</f>
        <v>5</v>
      </c>
      <c r="F669" s="6"/>
    </row>
    <row r="670" customFormat="false" ht="15" hidden="false" customHeight="true" outlineLevel="0" collapsed="false">
      <c r="A670" s="5" t="n">
        <v>46157</v>
      </c>
      <c r="B670" s="6" t="s">
        <v>157</v>
      </c>
      <c r="C670" s="6" t="s">
        <v>33</v>
      </c>
      <c r="D670" s="6" t="s">
        <v>175</v>
      </c>
      <c r="E670" s="6" t="n">
        <f aca="false">IF($D670="",0,LEN($D670)-LEN(SUBSTITUTE($D670,",",""))+1)</f>
        <v>4</v>
      </c>
      <c r="F670" s="6"/>
    </row>
    <row r="671" customFormat="false" ht="15" hidden="false" customHeight="true" outlineLevel="0" collapsed="false">
      <c r="A671" s="5" t="n">
        <v>46164</v>
      </c>
      <c r="B671" s="6" t="s">
        <v>157</v>
      </c>
      <c r="C671" s="6" t="s">
        <v>21</v>
      </c>
      <c r="D671" s="6" t="s">
        <v>34</v>
      </c>
      <c r="E671" s="6" t="n">
        <f aca="false">IF($D671="",0,LEN($D671)-LEN(SUBSTITUTE($D671,",",""))+1)</f>
        <v>3</v>
      </c>
      <c r="F671" s="6" t="s">
        <v>187</v>
      </c>
    </row>
    <row r="672" customFormat="false" ht="15" hidden="false" customHeight="true" outlineLevel="0" collapsed="false">
      <c r="A672" s="5" t="n">
        <v>46164</v>
      </c>
      <c r="B672" s="6" t="s">
        <v>157</v>
      </c>
      <c r="C672" s="6" t="s">
        <v>22</v>
      </c>
      <c r="D672" s="6" t="s">
        <v>34</v>
      </c>
      <c r="E672" s="6" t="n">
        <f aca="false">IF($D672="",0,LEN($D672)-LEN(SUBSTITUTE($D672,",",""))+1)</f>
        <v>3</v>
      </c>
      <c r="F672" s="6"/>
    </row>
    <row r="673" customFormat="false" ht="15" hidden="false" customHeight="true" outlineLevel="0" collapsed="false">
      <c r="A673" s="5" t="n">
        <v>46171</v>
      </c>
      <c r="B673" s="6" t="s">
        <v>54</v>
      </c>
      <c r="C673" s="6" t="s">
        <v>33</v>
      </c>
      <c r="D673" s="6" t="s">
        <v>34</v>
      </c>
      <c r="E673" s="6" t="n">
        <f aca="false">IF($D673="",0,LEN($D673)-LEN(SUBSTITUTE($D673,",",""))+1)</f>
        <v>3</v>
      </c>
      <c r="F673" s="6"/>
    </row>
    <row r="674" customFormat="false" ht="15" hidden="false" customHeight="true" outlineLevel="0" collapsed="false">
      <c r="A674" s="5" t="n">
        <v>46171</v>
      </c>
      <c r="B674" s="6" t="s">
        <v>157</v>
      </c>
      <c r="C674" s="6" t="s">
        <v>33</v>
      </c>
      <c r="D674" s="6" t="s">
        <v>34</v>
      </c>
      <c r="E674" s="6" t="n">
        <f aca="false">IF($D674="",0,LEN($D674)-LEN(SUBSTITUTE($D674,",",""))+1)</f>
        <v>3</v>
      </c>
      <c r="F674" s="6"/>
    </row>
    <row r="675" customFormat="false" ht="15" hidden="false" customHeight="true" outlineLevel="0" collapsed="false">
      <c r="A675" s="5" t="n">
        <v>46171</v>
      </c>
      <c r="B675" s="6" t="s">
        <v>54</v>
      </c>
      <c r="C675" s="6" t="s">
        <v>21</v>
      </c>
      <c r="D675" s="6" t="s">
        <v>59</v>
      </c>
      <c r="E675" s="6" t="n">
        <f aca="false">IF($D675="",0,LEN($D675)-LEN(SUBSTITUTE($D675,",",""))+1)</f>
        <v>2</v>
      </c>
      <c r="F675" s="6"/>
    </row>
    <row r="676" customFormat="false" ht="15" hidden="false" customHeight="true" outlineLevel="0" collapsed="false">
      <c r="A676" s="5" t="n">
        <v>46179</v>
      </c>
      <c r="B676" s="6" t="s">
        <v>140</v>
      </c>
      <c r="C676" s="6" t="s">
        <v>35</v>
      </c>
      <c r="D676" s="6" t="s">
        <v>43</v>
      </c>
      <c r="E676" s="6" t="n">
        <f aca="false">IF($D676="",0,LEN($D676)-LEN(SUBSTITUTE($D676,",",""))+1)</f>
        <v>5</v>
      </c>
      <c r="F676" s="6"/>
    </row>
    <row r="677" customFormat="false" ht="15" hidden="false" customHeight="true" outlineLevel="0" collapsed="false">
      <c r="A677" s="5" t="n">
        <v>46186</v>
      </c>
      <c r="B677" s="6" t="s">
        <v>157</v>
      </c>
      <c r="C677" s="6" t="s">
        <v>33</v>
      </c>
      <c r="D677" s="6" t="s">
        <v>174</v>
      </c>
      <c r="E677" s="6" t="n">
        <f aca="false">IF($D677="",0,LEN($D677)-LEN(SUBSTITUTE($D677,",",""))+1)</f>
        <v>4</v>
      </c>
      <c r="F677" s="6"/>
    </row>
    <row r="678" customFormat="false" ht="15" hidden="false" customHeight="true" outlineLevel="0" collapsed="false">
      <c r="A678" s="5" t="n">
        <v>46186</v>
      </c>
      <c r="B678" s="6" t="s">
        <v>54</v>
      </c>
      <c r="C678" s="6" t="s">
        <v>33</v>
      </c>
      <c r="D678" s="6" t="s">
        <v>34</v>
      </c>
      <c r="E678" s="6" t="n">
        <f aca="false">IF($D678="",0,LEN($D678)-LEN(SUBSTITUTE($D678,",",""))+1)</f>
        <v>3</v>
      </c>
      <c r="F678" s="6"/>
    </row>
    <row r="679" customFormat="false" ht="15" hidden="false" customHeight="true" outlineLevel="0" collapsed="false">
      <c r="A679" s="7"/>
      <c r="B679" s="7"/>
      <c r="C679" s="7"/>
      <c r="D679" s="7"/>
      <c r="E679" s="8" t="n">
        <f aca="false">IF($D679="",0,LEN($D679)-LEN(SUBSTITUTE($D679,",",""))+1)</f>
        <v>0</v>
      </c>
      <c r="F679" s="7"/>
      <c r="H679" s="9" t="s">
        <v>188</v>
      </c>
    </row>
    <row r="680" customFormat="false" ht="15" hidden="false" customHeight="true" outlineLevel="0" collapsed="false">
      <c r="A68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7" min="6" style="1" width="16"/>
  </cols>
  <sheetData>
    <row r="1" customFormat="false" ht="15" hidden="false" customHeight="true" outlineLevel="0" collapsed="false">
      <c r="A1" s="4" t="s">
        <v>189</v>
      </c>
      <c r="B1" s="4" t="s">
        <v>190</v>
      </c>
      <c r="C1" s="4" t="s">
        <v>191</v>
      </c>
      <c r="D1" s="4" t="s">
        <v>192</v>
      </c>
      <c r="E1" s="4" t="s">
        <v>193</v>
      </c>
      <c r="F1" s="4" t="s">
        <v>194</v>
      </c>
      <c r="G1" s="4" t="s">
        <v>195</v>
      </c>
    </row>
    <row r="2" customFormat="false" ht="15" hidden="false" customHeight="true" outlineLevel="0" collapsed="false">
      <c r="A2" s="8" t="s">
        <v>21</v>
      </c>
      <c r="B2" s="8" t="n">
        <f aca="false">SUMPRODUCT(--ISNUMBER(SEARCH(", "&amp;$A2&amp;", ",", "&amp;'Game Log'!$C$2:$C$3000&amp;", ")))</f>
        <v>290</v>
      </c>
      <c r="C2" s="8" t="n">
        <f aca="false">SUMPRODUCT(--ISNUMBER(SEARCH(", "&amp;$A2&amp;", ",", "&amp;'Game Log'!$D$2:$D$3000&amp;", ")))</f>
        <v>622</v>
      </c>
      <c r="D2" s="10" t="n">
        <f aca="false">IF(C2=0,"",B2/C2)</f>
        <v>0.466237942122187</v>
      </c>
      <c r="E2" s="8" t="n">
        <f aca="true">SUMPRODUCT(--ISNUMBER(SEARCH(", "&amp;$A2&amp;", ",", "&amp;'Game Log'!$C$2:$C$3000&amp;", ")),--(YEAR('Game Log'!$A$2:$A$3000+0)=YEAR(TODAY())))</f>
        <v>18</v>
      </c>
      <c r="F2" s="8" t="n">
        <f aca="true">SUMPRODUCT(--ISNUMBER(SEARCH(", "&amp;$A2&amp;", ",", "&amp;'Game Log'!$D$2:$D$3000&amp;", ")),--(YEAR('Game Log'!$A$2:$A$3000+0)=YEAR(TODAY())))</f>
        <v>36</v>
      </c>
      <c r="G2" s="10" t="n">
        <f aca="false">IF(F2=0,"",E2/F2)</f>
        <v>0.5</v>
      </c>
    </row>
    <row r="3" customFormat="false" ht="15" hidden="false" customHeight="true" outlineLevel="0" collapsed="false">
      <c r="A3" s="8" t="s">
        <v>33</v>
      </c>
      <c r="B3" s="8" t="n">
        <f aca="false">SUMPRODUCT(--ISNUMBER(SEARCH(", "&amp;$A3&amp;", ",", "&amp;'Game Log'!$C$2:$C$3000&amp;", ")))</f>
        <v>236</v>
      </c>
      <c r="C3" s="8" t="n">
        <f aca="false">SUMPRODUCT(--ISNUMBER(SEARCH(", "&amp;$A3&amp;", ",", "&amp;'Game Log'!$D$2:$D$3000&amp;", ")))</f>
        <v>650</v>
      </c>
      <c r="D3" s="10" t="n">
        <f aca="false">IF(C3=0,"",B3/C3)</f>
        <v>0.363076923076923</v>
      </c>
      <c r="E3" s="8" t="n">
        <f aca="true">SUMPRODUCT(--ISNUMBER(SEARCH(", "&amp;$A3&amp;", ",", "&amp;'Game Log'!$C$2:$C$3000&amp;", ")),--(YEAR('Game Log'!$A$2:$A$3000+0)=YEAR(TODAY())))</f>
        <v>13</v>
      </c>
      <c r="F3" s="8" t="n">
        <f aca="true">SUMPRODUCT(--ISNUMBER(SEARCH(", "&amp;$A3&amp;", ",", "&amp;'Game Log'!$D$2:$D$3000&amp;", ")),--(YEAR('Game Log'!$A$2:$A$3000+0)=YEAR(TODAY())))</f>
        <v>36</v>
      </c>
      <c r="G3" s="10" t="n">
        <f aca="false">IF(F3=0,"",E3/F3)</f>
        <v>0.361111111111111</v>
      </c>
    </row>
    <row r="4" customFormat="false" ht="15" hidden="false" customHeight="true" outlineLevel="0" collapsed="false">
      <c r="A4" s="8" t="s">
        <v>22</v>
      </c>
      <c r="B4" s="8" t="n">
        <f aca="false">SUMPRODUCT(--ISNUMBER(SEARCH(", "&amp;$A4&amp;", ",", "&amp;'Game Log'!$C$2:$C$3000&amp;", ")))</f>
        <v>85</v>
      </c>
      <c r="C4" s="8" t="n">
        <f aca="false">SUMPRODUCT(--ISNUMBER(SEARCH(", "&amp;$A4&amp;", ",", "&amp;'Game Log'!$D$2:$D$3000&amp;", ")))</f>
        <v>382</v>
      </c>
      <c r="D4" s="10" t="n">
        <f aca="false">IF(C4=0,"",B4/C4)</f>
        <v>0.222513089005236</v>
      </c>
      <c r="E4" s="8" t="n">
        <f aca="true">SUMPRODUCT(--ISNUMBER(SEARCH(", "&amp;$A4&amp;", ",", "&amp;'Game Log'!$C$2:$C$3000&amp;", ")),--(YEAR('Game Log'!$A$2:$A$3000+0)=YEAR(TODAY())))</f>
        <v>4</v>
      </c>
      <c r="F4" s="8" t="n">
        <f aca="true">SUMPRODUCT(--ISNUMBER(SEARCH(", "&amp;$A4&amp;", ",", "&amp;'Game Log'!$D$2:$D$3000&amp;", ")),--(YEAR('Game Log'!$A$2:$A$3000+0)=YEAR(TODAY())))</f>
        <v>29</v>
      </c>
      <c r="G4" s="10" t="n">
        <f aca="false">IF(F4=0,"",E4/F4)</f>
        <v>0.137931034482759</v>
      </c>
    </row>
    <row r="5" customFormat="false" ht="15" hidden="false" customHeight="true" outlineLevel="0" collapsed="false">
      <c r="A5" s="8" t="s">
        <v>35</v>
      </c>
      <c r="B5" s="8" t="n">
        <f aca="false">SUMPRODUCT(--ISNUMBER(SEARCH(", "&amp;$A5&amp;", ",", "&amp;'Game Log'!$C$2:$C$3000&amp;", ")))</f>
        <v>34</v>
      </c>
      <c r="C5" s="8" t="n">
        <f aca="false">SUMPRODUCT(--ISNUMBER(SEARCH(", "&amp;$A5&amp;", ",", "&amp;'Game Log'!$D$2:$D$3000&amp;", ")))</f>
        <v>202</v>
      </c>
      <c r="D5" s="10" t="n">
        <f aca="false">IF(C5=0,"",B5/C5)</f>
        <v>0.168316831683168</v>
      </c>
      <c r="E5" s="8" t="n">
        <f aca="true">SUMPRODUCT(--ISNUMBER(SEARCH(", "&amp;$A5&amp;", ",", "&amp;'Game Log'!$C$2:$C$3000&amp;", ")),--(YEAR('Game Log'!$A$2:$A$3000+0)=YEAR(TODAY())))</f>
        <v>1</v>
      </c>
      <c r="F5" s="8" t="n">
        <f aca="true">SUMPRODUCT(--ISNUMBER(SEARCH(", "&amp;$A5&amp;", ",", "&amp;'Game Log'!$D$2:$D$3000&amp;", ")),--(YEAR('Game Log'!$A$2:$A$3000+0)=YEAR(TODAY())))</f>
        <v>7</v>
      </c>
      <c r="G5" s="10" t="n">
        <f aca="false">IF(F5=0,"",E5/F5)</f>
        <v>0.142857142857143</v>
      </c>
    </row>
    <row r="6" customFormat="false" ht="15" hidden="false" customHeight="true" outlineLevel="0" collapsed="false">
      <c r="A6" s="8" t="s">
        <v>177</v>
      </c>
      <c r="B6" s="8" t="n">
        <f aca="false">SUMPRODUCT(--ISNUMBER(SEARCH(", "&amp;$A6&amp;", ",", "&amp;'Game Log'!$C$2:$C$3000&amp;", ")))</f>
        <v>3</v>
      </c>
      <c r="C6" s="8" t="n">
        <f aca="false">SUMPRODUCT(--ISNUMBER(SEARCH(", "&amp;$A6&amp;", ",", "&amp;'Game Log'!$D$2:$D$3000&amp;", ")))</f>
        <v>28</v>
      </c>
      <c r="D6" s="10" t="n">
        <f aca="false">IF(C6=0,"",B6/C6)</f>
        <v>0.107142857142857</v>
      </c>
      <c r="E6" s="8" t="n">
        <f aca="true">SUMPRODUCT(--ISNUMBER(SEARCH(", "&amp;$A6&amp;", ",", "&amp;'Game Log'!$C$2:$C$3000&amp;", ")),--(YEAR('Game Log'!$A$2:$A$3000+0)=YEAR(TODAY())))</f>
        <v>0</v>
      </c>
      <c r="F6" s="8" t="n">
        <f aca="true">SUMPRODUCT(--ISNUMBER(SEARCH(", "&amp;$A6&amp;", ",", "&amp;'Game Log'!$D$2:$D$3000&amp;", ")),--(YEAR('Game Log'!$A$2:$A$3000+0)=YEAR(TODAY())))</f>
        <v>8</v>
      </c>
      <c r="G6" s="10" t="n">
        <f aca="false">IF(F6=0,"",E6/F6)</f>
        <v>0</v>
      </c>
    </row>
    <row r="7" customFormat="false" ht="15" hidden="false" customHeight="true" outlineLevel="0" collapsed="false">
      <c r="A7" s="8" t="s">
        <v>52</v>
      </c>
      <c r="B7" s="8" t="n">
        <f aca="false">SUMPRODUCT(--ISNUMBER(SEARCH(", "&amp;$A7&amp;", ",", "&amp;'Game Log'!$C$2:$C$3000&amp;", ")))</f>
        <v>7</v>
      </c>
      <c r="C7" s="8" t="n">
        <f aca="false">SUMPRODUCT(--ISNUMBER(SEARCH(", "&amp;$A7&amp;", ",", "&amp;'Game Log'!$D$2:$D$3000&amp;", ")))</f>
        <v>62</v>
      </c>
      <c r="D7" s="10" t="n">
        <f aca="false">IF(C7=0,"",B7/C7)</f>
        <v>0.112903225806452</v>
      </c>
      <c r="E7" s="8" t="n">
        <f aca="true">SUMPRODUCT(--ISNUMBER(SEARCH(", "&amp;$A7&amp;", ",", "&amp;'Game Log'!$C$2:$C$3000&amp;", ")),--(YEAR('Game Log'!$A$2:$A$3000+0)=YEAR(TODAY())))</f>
        <v>0</v>
      </c>
      <c r="F7" s="8" t="n">
        <f aca="true">SUMPRODUCT(--ISNUMBER(SEARCH(", "&amp;$A7&amp;", ",", "&amp;'Game Log'!$D$2:$D$3000&amp;", ")),--(YEAR('Game Log'!$A$2:$A$3000+0)=YEAR(TODAY())))</f>
        <v>2</v>
      </c>
      <c r="G7" s="10" t="n">
        <f aca="false">IF(F7=0,"",E7/F7)</f>
        <v>0</v>
      </c>
    </row>
    <row r="8" customFormat="false" ht="15" hidden="false" customHeight="true" outlineLevel="0" collapsed="false">
      <c r="A8" s="8" t="s">
        <v>127</v>
      </c>
      <c r="B8" s="8" t="n">
        <f aca="false">SUMPRODUCT(--ISNUMBER(SEARCH(", "&amp;$A8&amp;", ",", "&amp;'Game Log'!$C$2:$C$3000&amp;", ")))</f>
        <v>2</v>
      </c>
      <c r="C8" s="8" t="n">
        <f aca="false">SUMPRODUCT(--ISNUMBER(SEARCH(", "&amp;$A8&amp;", ",", "&amp;'Game Log'!$D$2:$D$3000&amp;", ")))</f>
        <v>37</v>
      </c>
      <c r="D8" s="10" t="n">
        <f aca="false">IF(C8=0,"",B8/C8)</f>
        <v>0.0540540540540541</v>
      </c>
      <c r="E8" s="8" t="n">
        <f aca="true">SUMPRODUCT(--ISNUMBER(SEARCH(", "&amp;$A8&amp;", ",", "&amp;'Game Log'!$C$2:$C$3000&amp;", ")),--(YEAR('Game Log'!$A$2:$A$3000+0)=YEAR(TODAY())))</f>
        <v>0</v>
      </c>
      <c r="F8" s="8" t="n">
        <f aca="true">SUMPRODUCT(--ISNUMBER(SEARCH(", "&amp;$A8&amp;", ",", "&amp;'Game Log'!$D$2:$D$3000&amp;", ")),--(YEAR('Game Log'!$A$2:$A$3000+0)=YEAR(TODAY())))</f>
        <v>0</v>
      </c>
      <c r="G8" s="10" t="str">
        <f aca="false">IF(F8=0,"",E8/F8)</f>
        <v/>
      </c>
    </row>
    <row r="9" customFormat="false" ht="15" hidden="false" customHeight="true" outlineLevel="0" collapsed="false">
      <c r="A9" s="8" t="s">
        <v>196</v>
      </c>
      <c r="B9" s="8" t="n">
        <f aca="false">SUMPRODUCT(--ISNUMBER(SEARCH(", "&amp;$A9&amp;", ",", "&amp;'Game Log'!$C$2:$C$3000&amp;", ")))</f>
        <v>0</v>
      </c>
      <c r="C9" s="8" t="n">
        <f aca="false">SUMPRODUCT(--ISNUMBER(SEARCH(", "&amp;$A9&amp;", ",", "&amp;'Game Log'!$D$2:$D$3000&amp;", ")))</f>
        <v>2</v>
      </c>
      <c r="D9" s="10" t="n">
        <f aca="false">IF(C9=0,"",B9/C9)</f>
        <v>0</v>
      </c>
      <c r="E9" s="8" t="n">
        <f aca="true">SUMPRODUCT(--ISNUMBER(SEARCH(", "&amp;$A9&amp;", ",", "&amp;'Game Log'!$C$2:$C$3000&amp;", ")),--(YEAR('Game Log'!$A$2:$A$3000+0)=YEAR(TODAY())))</f>
        <v>0</v>
      </c>
      <c r="F9" s="8" t="n">
        <f aca="true">SUMPRODUCT(--ISNUMBER(SEARCH(", "&amp;$A9&amp;", ",", "&amp;'Game Log'!$D$2:$D$3000&amp;", ")),--(YEAR('Game Log'!$A$2:$A$3000+0)=YEAR(TODAY())))</f>
        <v>0</v>
      </c>
      <c r="G9" s="10" t="str">
        <f aca="false">IF(F9=0,"",E9/F9)</f>
        <v/>
      </c>
    </row>
    <row r="10" customFormat="false" ht="15" hidden="false" customHeight="true" outlineLevel="0" collapsed="false">
      <c r="A10" s="8" t="s">
        <v>197</v>
      </c>
      <c r="B10" s="8" t="n">
        <f aca="false">SUMPRODUCT(--ISNUMBER(SEARCH(", "&amp;$A10&amp;", ",", "&amp;'Game Log'!$C$2:$C$3000&amp;", ")))</f>
        <v>0</v>
      </c>
      <c r="C10" s="8" t="n">
        <f aca="false">SUMPRODUCT(--ISNUMBER(SEARCH(", "&amp;$A10&amp;", ",", "&amp;'Game Log'!$D$2:$D$3000&amp;", ")))</f>
        <v>2</v>
      </c>
      <c r="D10" s="10" t="n">
        <f aca="false">IF(C10=0,"",B10/C10)</f>
        <v>0</v>
      </c>
      <c r="E10" s="8" t="n">
        <f aca="true">SUMPRODUCT(--ISNUMBER(SEARCH(", "&amp;$A10&amp;", ",", "&amp;'Game Log'!$C$2:$C$3000&amp;", ")),--(YEAR('Game Log'!$A$2:$A$3000+0)=YEAR(TODAY())))</f>
        <v>0</v>
      </c>
      <c r="F10" s="8" t="n">
        <f aca="true">SUMPRODUCT(--ISNUMBER(SEARCH(", "&amp;$A10&amp;", ",", "&amp;'Game Log'!$D$2:$D$3000&amp;", ")),--(YEAR('Game Log'!$A$2:$A$3000+0)=YEAR(TODAY())))</f>
        <v>0</v>
      </c>
      <c r="G10" s="10" t="str">
        <f aca="false">IF(F10=0,"",E10/F10)</f>
        <v/>
      </c>
    </row>
    <row r="11" customFormat="false" ht="15" hidden="false" customHeight="true" outlineLevel="0" collapsed="false">
      <c r="A11" s="8" t="s">
        <v>110</v>
      </c>
      <c r="B11" s="8" t="n">
        <f aca="false">SUMPRODUCT(--ISNUMBER(SEARCH(", "&amp;$A11&amp;", ",", "&amp;'Game Log'!$C$2:$C$3000&amp;", ")))</f>
        <v>1</v>
      </c>
      <c r="C11" s="8" t="n">
        <f aca="false">SUMPRODUCT(--ISNUMBER(SEARCH(", "&amp;$A11&amp;", ",", "&amp;'Game Log'!$D$2:$D$3000&amp;", ")))</f>
        <v>4</v>
      </c>
      <c r="D11" s="10" t="n">
        <f aca="false">IF(C11=0,"",B11/C11)</f>
        <v>0.25</v>
      </c>
      <c r="E11" s="8" t="n">
        <f aca="true">SUMPRODUCT(--ISNUMBER(SEARCH(", "&amp;$A11&amp;", ",", "&amp;'Game Log'!$C$2:$C$3000&amp;", ")),--(YEAR('Game Log'!$A$2:$A$3000+0)=YEAR(TODAY())))</f>
        <v>0</v>
      </c>
      <c r="F11" s="8" t="n">
        <f aca="true">SUMPRODUCT(--ISNUMBER(SEARCH(", "&amp;$A11&amp;", ",", "&amp;'Game Log'!$D$2:$D$3000&amp;", ")),--(YEAR('Game Log'!$A$2:$A$3000+0)=YEAR(TODAY())))</f>
        <v>0</v>
      </c>
      <c r="G11" s="10" t="str">
        <f aca="false">IF(F11=0,"",E11/F11)</f>
        <v/>
      </c>
    </row>
    <row r="12" customFormat="false" ht="15" hidden="false" customHeight="true" outlineLevel="0" collapsed="false">
      <c r="A12" s="8" t="s">
        <v>92</v>
      </c>
      <c r="B12" s="8" t="n">
        <f aca="false">SUMPRODUCT(--ISNUMBER(SEARCH(", "&amp;$A12&amp;", ",", "&amp;'Game Log'!$C$2:$C$3000&amp;", ")))</f>
        <v>5</v>
      </c>
      <c r="C12" s="8" t="n">
        <f aca="false">SUMPRODUCT(--ISNUMBER(SEARCH(", "&amp;$A12&amp;", ",", "&amp;'Game Log'!$D$2:$D$3000&amp;", ")))</f>
        <v>26</v>
      </c>
      <c r="D12" s="10" t="n">
        <f aca="false">IF(C12=0,"",B12/C12)</f>
        <v>0.192307692307692</v>
      </c>
      <c r="E12" s="8" t="n">
        <f aca="true">SUMPRODUCT(--ISNUMBER(SEARCH(", "&amp;$A12&amp;", ",", "&amp;'Game Log'!$C$2:$C$3000&amp;", ")),--(YEAR('Game Log'!$A$2:$A$3000+0)=YEAR(TODAY())))</f>
        <v>0</v>
      </c>
      <c r="F12" s="8" t="n">
        <f aca="true">SUMPRODUCT(--ISNUMBER(SEARCH(", "&amp;$A12&amp;", ",", "&amp;'Game Log'!$D$2:$D$3000&amp;", ")),--(YEAR('Game Log'!$A$2:$A$3000+0)=YEAR(TODAY())))</f>
        <v>0</v>
      </c>
      <c r="G12" s="10" t="str">
        <f aca="false">IF(F12=0,"",E12/F12)</f>
        <v/>
      </c>
    </row>
    <row r="13" customFormat="false" ht="15" hidden="false" customHeight="true" outlineLevel="0" collapsed="false">
      <c r="A13" s="8" t="s">
        <v>198</v>
      </c>
      <c r="B13" s="8" t="n">
        <f aca="false">SUMPRODUCT(--ISNUMBER(SEARCH(", "&amp;$A13&amp;", ",", "&amp;'Game Log'!$C$2:$C$3000&amp;", ")))</f>
        <v>0</v>
      </c>
      <c r="C13" s="8" t="n">
        <f aca="false">SUMPRODUCT(--ISNUMBER(SEARCH(", "&amp;$A13&amp;", ",", "&amp;'Game Log'!$D$2:$D$3000&amp;", ")))</f>
        <v>4</v>
      </c>
      <c r="D13" s="10" t="n">
        <f aca="false">IF(C13=0,"",B13/C13)</f>
        <v>0</v>
      </c>
      <c r="E13" s="8" t="n">
        <f aca="true">SUMPRODUCT(--ISNUMBER(SEARCH(", "&amp;$A13&amp;", ",", "&amp;'Game Log'!$C$2:$C$3000&amp;", ")),--(YEAR('Game Log'!$A$2:$A$3000+0)=YEAR(TODAY())))</f>
        <v>0</v>
      </c>
      <c r="F13" s="8" t="n">
        <f aca="true">SUMPRODUCT(--ISNUMBER(SEARCH(", "&amp;$A13&amp;", ",", "&amp;'Game Log'!$D$2:$D$3000&amp;", ")),--(YEAR('Game Log'!$A$2:$A$3000+0)=YEAR(TODAY())))</f>
        <v>0</v>
      </c>
      <c r="G13" s="10" t="str">
        <f aca="false">IF(F13=0,"",E13/F13)</f>
        <v/>
      </c>
    </row>
    <row r="14" customFormat="false" ht="15" hidden="false" customHeight="true" outlineLevel="0" collapsed="false">
      <c r="A14" s="8" t="s">
        <v>24</v>
      </c>
      <c r="B14" s="8" t="n">
        <f aca="false">SUMPRODUCT(--ISNUMBER(SEARCH(", "&amp;$A14&amp;", ",", "&amp;'Game Log'!$C$2:$C$3000&amp;", ")))</f>
        <v>21</v>
      </c>
      <c r="C14" s="8" t="n">
        <f aca="false">SUMPRODUCT(--ISNUMBER(SEARCH(", "&amp;$A14&amp;", ",", "&amp;'Game Log'!$D$2:$D$3000&amp;", ")))</f>
        <v>97</v>
      </c>
      <c r="D14" s="10" t="n">
        <f aca="false">IF(C14=0,"",B14/C14)</f>
        <v>0.216494845360825</v>
      </c>
      <c r="E14" s="8" t="n">
        <f aca="true">SUMPRODUCT(--ISNUMBER(SEARCH(", "&amp;$A14&amp;", ",", "&amp;'Game Log'!$C$2:$C$3000&amp;", ")),--(YEAR('Game Log'!$A$2:$A$3000+0)=YEAR(TODAY())))</f>
        <v>0</v>
      </c>
      <c r="F14" s="8" t="n">
        <f aca="true">SUMPRODUCT(--ISNUMBER(SEARCH(", "&amp;$A14&amp;", ",", "&amp;'Game Log'!$D$2:$D$3000&amp;", ")),--(YEAR('Game Log'!$A$2:$A$3000+0)=YEAR(TODAY())))</f>
        <v>0</v>
      </c>
      <c r="G14" s="10" t="str">
        <f aca="false">IF(F14=0,"",E14/F14)</f>
        <v/>
      </c>
    </row>
    <row r="16" customFormat="false" ht="15" hidden="false" customHeight="true" outlineLevel="0" collapsed="false">
      <c r="A16" s="11" t="s">
        <v>199</v>
      </c>
    </row>
    <row r="17" customFormat="false" ht="15" hidden="false" customHeight="true" outlineLevel="0" collapsed="false">
      <c r="A17" s="3" t="s">
        <v>200</v>
      </c>
      <c r="B17" s="1" t="n">
        <f aca="false">COUNTIF('Game Log'!$C$2:$C$3000,"Win")</f>
        <v>8</v>
      </c>
    </row>
    <row r="18" customFormat="false" ht="15" hidden="false" customHeight="true" outlineLevel="0" collapsed="false">
      <c r="A18" s="3" t="s">
        <v>201</v>
      </c>
      <c r="B18" s="1" t="n">
        <f aca="false">COUNTIF('Game Log'!$C$2:$C$3000,"Loss")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4"/>
  </cols>
  <sheetData>
    <row r="1" customFormat="false" ht="15" hidden="false" customHeight="true" outlineLevel="0" collapsed="false">
      <c r="A1" s="4" t="s">
        <v>12</v>
      </c>
      <c r="B1" s="4" t="s">
        <v>202</v>
      </c>
      <c r="C1" s="4" t="s">
        <v>203</v>
      </c>
    </row>
    <row r="2" customFormat="false" ht="15" hidden="false" customHeight="true" outlineLevel="0" collapsed="false">
      <c r="A2" s="8" t="s">
        <v>135</v>
      </c>
      <c r="B2" s="8" t="n">
        <f aca="false">COUNTIF('Game Log'!$B$2:$B$3000,$A2)</f>
        <v>17</v>
      </c>
      <c r="C2" s="12" t="n">
        <f aca="false">IF(B2=0,"",SUMPRODUCT(MAX(('Game Log'!$B$2:$B$3000=$A2)*'Game Log'!$A$2:$A$3000)))</f>
        <v>46020</v>
      </c>
    </row>
    <row r="3" customFormat="false" ht="15" hidden="false" customHeight="true" outlineLevel="0" collapsed="false">
      <c r="A3" s="8" t="s">
        <v>162</v>
      </c>
      <c r="B3" s="8" t="n">
        <f aca="false">COUNTIF('Game Log'!$B$2:$B$3000,$A3)</f>
        <v>1</v>
      </c>
      <c r="C3" s="12" t="n">
        <f aca="false">IF(B3=0,"",SUMPRODUCT(MAX(('Game Log'!$B$2:$B$3000=$A3)*'Game Log'!$A$2:$A$3000)))</f>
        <v>45266</v>
      </c>
    </row>
    <row r="4" customFormat="false" ht="15" hidden="false" customHeight="true" outlineLevel="0" collapsed="false">
      <c r="A4" s="8" t="s">
        <v>60</v>
      </c>
      <c r="B4" s="8" t="n">
        <f aca="false">COUNTIF('Game Log'!$B$2:$B$3000,$A4)</f>
        <v>12</v>
      </c>
      <c r="C4" s="12" t="n">
        <f aca="false">IF(B4=0,"",SUMPRODUCT(MAX(('Game Log'!$B$2:$B$3000=$A4)*'Game Log'!$A$2:$A$3000)))</f>
        <v>42435</v>
      </c>
    </row>
    <row r="5" customFormat="false" ht="15" hidden="false" customHeight="true" outlineLevel="0" collapsed="false">
      <c r="A5" s="8" t="s">
        <v>172</v>
      </c>
      <c r="B5" s="8" t="n">
        <f aca="false">COUNTIF('Game Log'!$B$2:$B$3000,$A5)</f>
        <v>12</v>
      </c>
      <c r="C5" s="12" t="n">
        <f aca="false">IF(B5=0,"",SUMPRODUCT(MAX(('Game Log'!$B$2:$B$3000=$A5)*'Game Log'!$A$2:$A$3000)))</f>
        <v>45913</v>
      </c>
    </row>
    <row r="6" customFormat="false" ht="15" hidden="false" customHeight="true" outlineLevel="0" collapsed="false">
      <c r="A6" s="8" t="s">
        <v>157</v>
      </c>
      <c r="B6" s="8" t="n">
        <f aca="false">COUNTIF('Game Log'!$B$2:$B$3000,$A6)</f>
        <v>106</v>
      </c>
      <c r="C6" s="12" t="n">
        <f aca="false">IF(B6=0,"",SUMPRODUCT(MAX(('Game Log'!$B$2:$B$3000=$A6)*'Game Log'!$A$2:$A$3000)))</f>
        <v>46186</v>
      </c>
    </row>
    <row r="7" customFormat="false" ht="15" hidden="false" customHeight="true" outlineLevel="0" collapsed="false">
      <c r="A7" s="8" t="s">
        <v>128</v>
      </c>
      <c r="B7" s="8" t="n">
        <f aca="false">COUNTIF('Game Log'!$B$2:$B$3000,$A7)</f>
        <v>33</v>
      </c>
      <c r="C7" s="12" t="n">
        <f aca="false">IF(B7=0,"",SUMPRODUCT(MAX(('Game Log'!$B$2:$B$3000=$A7)*'Game Log'!$A$2:$A$3000)))</f>
        <v>45764</v>
      </c>
    </row>
    <row r="8" customFormat="false" ht="15" hidden="false" customHeight="true" outlineLevel="0" collapsed="false">
      <c r="A8" s="8" t="s">
        <v>73</v>
      </c>
      <c r="B8" s="8" t="n">
        <f aca="false">COUNTIF('Game Log'!$B$2:$B$3000,$A8)</f>
        <v>1</v>
      </c>
      <c r="C8" s="12" t="n">
        <f aca="false">IF(B8=0,"",SUMPRODUCT(MAX(('Game Log'!$B$2:$B$3000=$A8)*'Game Log'!$A$2:$A$3000)))</f>
        <v>42302</v>
      </c>
    </row>
    <row r="9" customFormat="false" ht="15" hidden="false" customHeight="true" outlineLevel="0" collapsed="false">
      <c r="A9" s="8" t="s">
        <v>99</v>
      </c>
      <c r="B9" s="8" t="n">
        <f aca="false">COUNTIF('Game Log'!$B$2:$B$3000,$A9)</f>
        <v>6</v>
      </c>
      <c r="C9" s="12" t="n">
        <f aca="false">IF(B9=0,"",SUMPRODUCT(MAX(('Game Log'!$B$2:$B$3000=$A9)*'Game Log'!$A$2:$A$3000)))</f>
        <v>45289</v>
      </c>
    </row>
    <row r="10" customFormat="false" ht="15" hidden="false" customHeight="true" outlineLevel="0" collapsed="false">
      <c r="A10" s="8" t="s">
        <v>63</v>
      </c>
      <c r="B10" s="8" t="n">
        <f aca="false">COUNTIF('Game Log'!$B$2:$B$3000,$A10)</f>
        <v>1</v>
      </c>
      <c r="C10" s="12" t="n">
        <f aca="false">IF(B10=0,"",SUMPRODUCT(MAX(('Game Log'!$B$2:$B$3000=$A10)*'Game Log'!$A$2:$A$3000)))</f>
        <v>42230</v>
      </c>
    </row>
    <row r="11" customFormat="false" ht="15" hidden="false" customHeight="true" outlineLevel="0" collapsed="false">
      <c r="A11" s="8" t="s">
        <v>161</v>
      </c>
      <c r="B11" s="8" t="n">
        <f aca="false">COUNTIF('Game Log'!$B$2:$B$3000,$A11)</f>
        <v>2</v>
      </c>
      <c r="C11" s="12" t="n">
        <f aca="false">IF(B11=0,"",SUMPRODUCT(MAX(('Game Log'!$B$2:$B$3000=$A11)*'Game Log'!$A$2:$A$3000)))</f>
        <v>45268</v>
      </c>
    </row>
    <row r="12" customFormat="false" ht="15" hidden="false" customHeight="true" outlineLevel="0" collapsed="false">
      <c r="A12" s="8" t="s">
        <v>156</v>
      </c>
      <c r="B12" s="8" t="n">
        <f aca="false">COUNTIF('Game Log'!$B$2:$B$3000,$A12)</f>
        <v>1</v>
      </c>
      <c r="C12" s="12" t="n">
        <f aca="false">IF(B12=0,"",SUMPRODUCT(MAX(('Game Log'!$B$2:$B$3000=$A12)*'Game Log'!$A$2:$A$3000)))</f>
        <v>45191</v>
      </c>
    </row>
    <row r="13" customFormat="false" ht="15" hidden="false" customHeight="true" outlineLevel="0" collapsed="false">
      <c r="A13" s="8" t="s">
        <v>54</v>
      </c>
      <c r="B13" s="8" t="n">
        <f aca="false">COUNTIF('Game Log'!$B$2:$B$3000,$A13)</f>
        <v>125</v>
      </c>
      <c r="C13" s="12" t="n">
        <f aca="false">IF(B13=0,"",SUMPRODUCT(MAX(('Game Log'!$B$2:$B$3000=$A13)*'Game Log'!$A$2:$A$3000)))</f>
        <v>46186</v>
      </c>
    </row>
    <row r="14" customFormat="false" ht="15" hidden="false" customHeight="true" outlineLevel="0" collapsed="false">
      <c r="A14" s="8" t="s">
        <v>30</v>
      </c>
      <c r="B14" s="8" t="n">
        <f aca="false">COUNTIF('Game Log'!$B$2:$B$3000,$A14)</f>
        <v>70</v>
      </c>
      <c r="C14" s="12" t="n">
        <f aca="false">IF(B14=0,"",SUMPRODUCT(MAX(('Game Log'!$B$2:$B$3000=$A14)*'Game Log'!$A$2:$A$3000)))</f>
        <v>45750</v>
      </c>
    </row>
    <row r="15" customFormat="false" ht="15" hidden="false" customHeight="true" outlineLevel="0" collapsed="false">
      <c r="A15" s="8" t="s">
        <v>46</v>
      </c>
      <c r="B15" s="8" t="n">
        <f aca="false">COUNTIF('Game Log'!$B$2:$B$3000,$A15)</f>
        <v>1</v>
      </c>
      <c r="C15" s="12" t="n">
        <f aca="false">IF(B15=0,"",SUMPRODUCT(MAX(('Game Log'!$B$2:$B$3000=$A15)*'Game Log'!$A$2:$A$3000)))</f>
        <v>42119</v>
      </c>
    </row>
    <row r="16" customFormat="false" ht="15" hidden="false" customHeight="true" outlineLevel="0" collapsed="false">
      <c r="A16" s="8" t="s">
        <v>36</v>
      </c>
      <c r="B16" s="8" t="n">
        <f aca="false">COUNTIF('Game Log'!$B$2:$B$3000,$A16)</f>
        <v>5</v>
      </c>
      <c r="C16" s="12" t="n">
        <f aca="false">IF(B16=0,"",SUMPRODUCT(MAX(('Game Log'!$B$2:$B$3000=$A16)*'Game Log'!$A$2:$A$3000)))</f>
        <v>45927</v>
      </c>
    </row>
    <row r="17" customFormat="false" ht="15" hidden="false" customHeight="true" outlineLevel="0" collapsed="false">
      <c r="A17" s="8" t="s">
        <v>137</v>
      </c>
      <c r="B17" s="8" t="n">
        <f aca="false">COUNTIF('Game Log'!$B$2:$B$3000,$A17)</f>
        <v>32</v>
      </c>
      <c r="C17" s="12" t="n">
        <f aca="false">IF(B17=0,"",SUMPRODUCT(MAX(('Game Log'!$B$2:$B$3000=$A17)*'Game Log'!$A$2:$A$3000)))</f>
        <v>46129</v>
      </c>
    </row>
    <row r="18" customFormat="false" ht="15" hidden="false" customHeight="true" outlineLevel="0" collapsed="false">
      <c r="A18" s="8" t="s">
        <v>17</v>
      </c>
      <c r="B18" s="8" t="n">
        <f aca="false">COUNTIF('Game Log'!$B$2:$B$3000,$A18)</f>
        <v>29</v>
      </c>
      <c r="C18" s="12" t="n">
        <f aca="false">IF(B18=0,"",SUMPRODUCT(MAX(('Game Log'!$B$2:$B$3000=$A18)*'Game Log'!$A$2:$A$3000)))</f>
        <v>45675</v>
      </c>
    </row>
    <row r="19" customFormat="false" ht="15" hidden="false" customHeight="true" outlineLevel="0" collapsed="false">
      <c r="A19" s="8" t="s">
        <v>23</v>
      </c>
      <c r="B19" s="8" t="n">
        <f aca="false">COUNTIF('Game Log'!$B$2:$B$3000,$A19)</f>
        <v>25</v>
      </c>
      <c r="C19" s="12" t="n">
        <f aca="false">IF(B19=0,"",SUMPRODUCT(MAX(('Game Log'!$B$2:$B$3000=$A19)*'Game Log'!$A$2:$A$3000)))</f>
        <v>45317</v>
      </c>
    </row>
    <row r="20" customFormat="false" ht="15" hidden="false" customHeight="true" outlineLevel="0" collapsed="false">
      <c r="A20" s="8" t="s">
        <v>140</v>
      </c>
      <c r="B20" s="8" t="n">
        <f aca="false">COUNTIF('Game Log'!$B$2:$B$3000,$A20)</f>
        <v>30</v>
      </c>
      <c r="C20" s="12" t="n">
        <f aca="false">IF(B20=0,"",SUMPRODUCT(MAX(('Game Log'!$B$2:$B$3000=$A20)*'Game Log'!$A$2:$A$3000)))</f>
        <v>46179</v>
      </c>
    </row>
    <row r="21" customFormat="false" ht="15" hidden="false" customHeight="true" outlineLevel="0" collapsed="false">
      <c r="A21" s="8" t="s">
        <v>136</v>
      </c>
      <c r="B21" s="8" t="n">
        <f aca="false">COUNTIF('Game Log'!$B$2:$B$3000,$A21)</f>
        <v>21</v>
      </c>
      <c r="C21" s="12" t="n">
        <f aca="false">IF(B21=0,"",SUMPRODUCT(MAX(('Game Log'!$B$2:$B$3000=$A21)*'Game Log'!$A$2:$A$3000)))</f>
        <v>45660</v>
      </c>
    </row>
    <row r="22" customFormat="false" ht="15" hidden="false" customHeight="true" outlineLevel="0" collapsed="false">
      <c r="A22" s="8" t="s">
        <v>42</v>
      </c>
      <c r="B22" s="8" t="n">
        <f aca="false">COUNTIF('Game Log'!$B$2:$B$3000,$A22)</f>
        <v>23</v>
      </c>
      <c r="C22" s="12" t="n">
        <f aca="false">IF(B22=0,"",SUMPRODUCT(MAX(('Game Log'!$B$2:$B$3000=$A22)*'Game Log'!$A$2:$A$3000)))</f>
        <v>45613</v>
      </c>
    </row>
    <row r="23" customFormat="false" ht="15" hidden="false" customHeight="true" outlineLevel="0" collapsed="false">
      <c r="A23" s="8" t="s">
        <v>65</v>
      </c>
      <c r="B23" s="8" t="n">
        <f aca="false">COUNTIF('Game Log'!$B$2:$B$3000,$A23)</f>
        <v>22</v>
      </c>
      <c r="C23" s="12" t="n">
        <f aca="false">IF(B23=0,"",SUMPRODUCT(MAX(('Game Log'!$B$2:$B$3000=$A23)*'Game Log'!$A$2:$A$3000)))</f>
        <v>42360</v>
      </c>
    </row>
    <row r="24" customFormat="false" ht="15" hidden="false" customHeight="true" outlineLevel="0" collapsed="false">
      <c r="A24" s="8" t="s">
        <v>138</v>
      </c>
      <c r="B24" s="8" t="n">
        <f aca="false">COUNTIF('Game Log'!$B$2:$B$3000,$A24)</f>
        <v>4</v>
      </c>
      <c r="C24" s="12" t="n">
        <f aca="false">IF(B24=0,"",SUMPRODUCT(MAX(('Game Log'!$B$2:$B$3000=$A24)*'Game Log'!$A$2:$A$3000)))</f>
        <v>45150</v>
      </c>
    </row>
    <row r="25" customFormat="false" ht="15" hidden="false" customHeight="true" outlineLevel="0" collapsed="false">
      <c r="A25" s="8" t="s">
        <v>27</v>
      </c>
      <c r="B25" s="8" t="n">
        <f aca="false">COUNTIF('Game Log'!$B$2:$B$3000,$A25)</f>
        <v>10</v>
      </c>
      <c r="C25" s="12" t="n">
        <f aca="false">IF(B25=0,"",SUMPRODUCT(MAX(('Game Log'!$B$2:$B$3000=$A25)*'Game Log'!$A$2:$A$3000)))</f>
        <v>45415</v>
      </c>
    </row>
    <row r="26" customFormat="false" ht="15" hidden="false" customHeight="true" outlineLevel="0" collapsed="false">
      <c r="A26" s="8" t="s">
        <v>51</v>
      </c>
      <c r="B26" s="8" t="n">
        <f aca="false">COUNTIF('Game Log'!$B$2:$B$3000,$A26)</f>
        <v>6</v>
      </c>
      <c r="C26" s="12" t="n">
        <f aca="false">IF(B26=0,"",SUMPRODUCT(MAX(('Game Log'!$B$2:$B$3000=$A26)*'Game Log'!$A$2:$A$3000)))</f>
        <v>42326</v>
      </c>
    </row>
    <row r="27" customFormat="false" ht="15" hidden="false" customHeight="true" outlineLevel="0" collapsed="false">
      <c r="A27" s="8" t="s">
        <v>154</v>
      </c>
      <c r="B27" s="8" t="n">
        <f aca="false">COUNTIF('Game Log'!$B$2:$B$3000,$A27)</f>
        <v>2</v>
      </c>
      <c r="C27" s="12" t="n">
        <f aca="false">IF(B27=0,"",SUMPRODUCT(MAX(('Game Log'!$B$2:$B$3000=$A27)*'Game Log'!$A$2:$A$3000)))</f>
        <v>45688</v>
      </c>
    </row>
    <row r="28" customFormat="false" ht="15" hidden="false" customHeight="true" outlineLevel="0" collapsed="false">
      <c r="A28" s="8" t="s">
        <v>146</v>
      </c>
      <c r="B28" s="8" t="n">
        <f aca="false">COUNTIF('Game Log'!$B$2:$B$3000,$A28)</f>
        <v>1</v>
      </c>
      <c r="C28" s="12" t="n">
        <f aca="false">IF(B28=0,"",SUMPRODUCT(MAX(('Game Log'!$B$2:$B$3000=$A28)*'Game Log'!$A$2:$A$3000)))</f>
        <v>45141</v>
      </c>
    </row>
    <row r="29" customFormat="false" ht="15" hidden="false" customHeight="true" outlineLevel="0" collapsed="false">
      <c r="A29" s="8" t="s">
        <v>168</v>
      </c>
      <c r="B29" s="8" t="n">
        <f aca="false">COUNTIF('Game Log'!$B$2:$B$3000,$A29)</f>
        <v>1</v>
      </c>
      <c r="C29" s="12" t="n">
        <f aca="false">IF(B29=0,"",SUMPRODUCT(MAX(('Game Log'!$B$2:$B$3000=$A29)*'Game Log'!$A$2:$A$3000)))</f>
        <v>45675</v>
      </c>
    </row>
    <row r="30" customFormat="false" ht="15" hidden="false" customHeight="true" outlineLevel="0" collapsed="false">
      <c r="A30" s="8" t="s">
        <v>121</v>
      </c>
      <c r="B30" s="8" t="n">
        <f aca="false">COUNTIF('Game Log'!$B$2:$B$3000,$A30)</f>
        <v>12</v>
      </c>
      <c r="C30" s="12" t="n">
        <f aca="false">IF(B30=0,"",SUMPRODUCT(MAX(('Game Log'!$B$2:$B$3000=$A30)*'Game Log'!$A$2:$A$3000)))</f>
        <v>42581</v>
      </c>
    </row>
    <row r="31" customFormat="false" ht="15" hidden="false" customHeight="true" outlineLevel="0" collapsed="false">
      <c r="A31" s="8" t="s">
        <v>151</v>
      </c>
      <c r="B31" s="8" t="n">
        <f aca="false">COUNTIF('Game Log'!$B$2:$B$3000,$A31)</f>
        <v>2</v>
      </c>
      <c r="C31" s="12" t="n">
        <f aca="false">IF(B31=0,"",SUMPRODUCT(MAX(('Game Log'!$B$2:$B$3000=$A31)*'Game Log'!$A$2:$A$3000)))</f>
        <v>45184</v>
      </c>
    </row>
    <row r="32" customFormat="false" ht="15" hidden="false" customHeight="true" outlineLevel="0" collapsed="false">
      <c r="A32" s="8" t="s">
        <v>114</v>
      </c>
      <c r="B32" s="8" t="n">
        <f aca="false">COUNTIF('Game Log'!$B$2:$B$3000,$A32)</f>
        <v>11</v>
      </c>
      <c r="C32" s="12" t="n">
        <f aca="false">IF(B32=0,"",SUMPRODUCT(MAX(('Game Log'!$B$2:$B$3000=$A32)*'Game Log'!$A$2:$A$3000)))</f>
        <v>45051</v>
      </c>
    </row>
    <row r="33" customFormat="false" ht="15" hidden="false" customHeight="true" outlineLevel="0" collapsed="false">
      <c r="A33" s="8" t="s">
        <v>88</v>
      </c>
      <c r="B33" s="8" t="n">
        <f aca="false">COUNTIF('Game Log'!$B$2:$B$3000,$A33)</f>
        <v>17</v>
      </c>
      <c r="C33" s="12" t="n">
        <f aca="false">IF(B33=0,"",SUMPRODUCT(MAX(('Game Log'!$B$2:$B$3000=$A33)*'Game Log'!$A$2:$A$3000)))</f>
        <v>42476</v>
      </c>
    </row>
    <row r="34" customFormat="false" ht="15" hidden="false" customHeight="true" outlineLevel="0" collapsed="false">
      <c r="A34" s="8" t="s">
        <v>149</v>
      </c>
      <c r="B34" s="8" t="n">
        <f aca="false">COUNTIF('Game Log'!$B$2:$B$3000,$A34)</f>
        <v>1</v>
      </c>
      <c r="C34" s="12" t="n">
        <f aca="false">IF(B34=0,"",SUMPRODUCT(MAX(('Game Log'!$B$2:$B$3000=$A34)*'Game Log'!$A$2:$A$3000)))</f>
        <v>45143</v>
      </c>
    </row>
    <row r="35" customFormat="false" ht="15" hidden="false" customHeight="true" outlineLevel="0" collapsed="false">
      <c r="A35" s="8" t="s">
        <v>20</v>
      </c>
      <c r="B35" s="8" t="n">
        <f aca="false">COUNTIF('Game Log'!$B$2:$B$3000,$A35)</f>
        <v>12</v>
      </c>
      <c r="C35" s="12" t="n">
        <f aca="false">IF(B35=0,"",SUMPRODUCT(MAX(('Game Log'!$B$2:$B$3000=$A35)*'Game Log'!$A$2:$A$3000)))</f>
        <v>42343</v>
      </c>
    </row>
    <row r="36" customFormat="false" ht="15" hidden="false" customHeight="true" outlineLevel="0" collapsed="false">
      <c r="A36" s="8" t="s">
        <v>104</v>
      </c>
      <c r="B36" s="8" t="n">
        <f aca="false">COUNTIF('Game Log'!$B$2:$B$3000,$A36)</f>
        <v>23</v>
      </c>
      <c r="C36" s="12" t="n">
        <f aca="false">IF(B36=0,"",SUMPRODUCT(MAX(('Game Log'!$B$2:$B$3000=$A36)*'Game Log'!$A$2:$A$3000)))</f>
        <v>45745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2026-07-11T18:49:13Z</dcterms:created>
  <dc:creator>openpyxl</dc:creator>
  <dc:description/>
  <dc:language>en-US</dc:language>
  <cp:lastModifiedBy/>
  <dcterms:modified xsi:type="dcterms:W3CDTF">2026-07-11T18:50:09Z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